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Users\kevin\Desktop\Vaccine Uptake - R\Data\JACSIS2023\processed\"/>
    </mc:Choice>
  </mc:AlternateContent>
  <xr:revisionPtr revIDLastSave="0" documentId="13_ncr:1_{255CEB4E-5ABA-4F44-ABD7-5717E230D679}" xr6:coauthVersionLast="47" xr6:coauthVersionMax="47" xr10:uidLastSave="{00000000-0000-0000-0000-000000000000}"/>
  <bookViews>
    <workbookView xWindow="-110" yWindow="-110" windowWidth="19420" windowHeight="11020" firstSheet="1" activeTab="3" xr2:uid="{00000000-000D-0000-FFFF-FFFF00000000}"/>
  </bookViews>
  <sheets>
    <sheet name="Codebook" sheetId="1" r:id="rId1"/>
    <sheet name="Values&amp;Labels" sheetId="2" r:id="rId2"/>
    <sheet name="causal relationships" sheetId="3" r:id="rId3"/>
    <sheet name="interactions" sheetId="5" r:id="rId4"/>
    <sheet name="correlations"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7" i="2" l="1"/>
  <c r="D88" i="2" s="1"/>
  <c r="D89" i="2" s="1"/>
  <c r="D90" i="2" s="1"/>
  <c r="D91" i="2" s="1"/>
  <c r="D92" i="2" s="1"/>
  <c r="D93" i="2" s="1"/>
  <c r="D94" i="2" s="1"/>
  <c r="D95" i="2" s="1"/>
  <c r="D96" i="2" s="1"/>
  <c r="D97" i="2" s="1"/>
  <c r="D98" i="2" s="1"/>
  <c r="D99" i="2" s="1"/>
  <c r="D100" i="2" s="1"/>
  <c r="D101" i="2" s="1"/>
  <c r="D102" i="2" s="1"/>
  <c r="D103"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tc={F627B11A-9966-4DAF-9CD9-36B5D028D9EE}</author>
    <author>tc={E5BA077E-7025-4391-8B23-A38BD7E65674}</author>
  </authors>
  <commentList>
    <comment ref="AZ1" authorId="0" shapeId="0" xr:uid="{F627B11A-9966-4DAF-9CD9-36B5D028D9EE}">
      <text>
        <t>[Threaded comment]
Your version of Excel allows you to read this threaded comment; however, any edits to it will get removed if the file is opened in a newer version of Excel. Learn more: https://go.microsoft.com/fwlink/?linkid=870924
Comment:
    Remove once we’ve determined how to stratify by disease</t>
      </text>
    </comment>
    <comment ref="CD1" authorId="1" shapeId="0" xr:uid="{E5BA077E-7025-4391-8B23-A38BD7E65674}">
      <text>
        <t xml:space="preserve">[Threaded comment]
Your version of Excel allows you to read this threaded comment; however, any edits to it will get removed if the file is opened in a newer version of Excel. Learn more: https://go.microsoft.com/fwlink/?linkid=870924
Comment:
    Remove retired status and student status? (due to the low number of respondents who fall into these categories)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tc={869B55B9-3B1F-4453-9A39-E466CC7906FC}</author>
  </authors>
  <commentList>
    <comment ref="L68" authorId="0" shapeId="0" xr:uid="{869B55B9-3B1F-4453-9A39-E466CC7906FC}">
      <text>
        <t xml:space="preserve">[Threaded comment]
Your version of Excel allows you to read this threaded comment; however, any edits to it will get removed if the file is opened in a newer version of Excel. Learn more: https://go.microsoft.com/fwlink/?linkid=870924
Comment:
    How should we define the number of parents a child has, the numebr of spouses livignin the same household? Or the marital status of the responding parent
there are cases where parents = 1 but the responding parent is still married, and in such cases where the other parent isn’t living in the same hosuehold as them they still may have an influence on their childs’vaccination
cases where parents = 2 but they arent married, i.e. divorced both parents might still have a say in the child’s vaccination
</t>
      </text>
    </comment>
  </commentList>
</comments>
</file>

<file path=xl/sharedStrings.xml><?xml version="1.0" encoding="utf-8"?>
<sst xmlns="http://schemas.openxmlformats.org/spreadsheetml/2006/main" count="1773" uniqueCount="620">
  <si>
    <t>Variable Name</t>
    <phoneticPr fontId="2"/>
  </si>
  <si>
    <t>Description</t>
    <phoneticPr fontId="2"/>
  </si>
  <si>
    <t>Variabe Type</t>
    <phoneticPr fontId="2"/>
  </si>
  <si>
    <t>Measure (Actual)</t>
    <phoneticPr fontId="2"/>
  </si>
  <si>
    <t>Data Set (belonging to)</t>
    <phoneticPr fontId="2"/>
  </si>
  <si>
    <t>child_1_DOB</t>
  </si>
  <si>
    <t>child_2_DOB</t>
  </si>
  <si>
    <t>child_3_DOB</t>
  </si>
  <si>
    <t>child_4_DOB</t>
  </si>
  <si>
    <t>child_5_DOB</t>
  </si>
  <si>
    <t>child_1_age</t>
  </si>
  <si>
    <t>child_2_age</t>
  </si>
  <si>
    <t>child_3_age</t>
  </si>
  <si>
    <t>child_4_age</t>
  </si>
  <si>
    <t>child_5_age</t>
  </si>
  <si>
    <t>age_of_interest</t>
  </si>
  <si>
    <t>transformed_age_data</t>
  </si>
  <si>
    <t>covid_first_dose_date</t>
  </si>
  <si>
    <t>covid_second_dose_date</t>
  </si>
  <si>
    <t>covid_third_dose_date</t>
  </si>
  <si>
    <t>covid_coverage_dosage</t>
  </si>
  <si>
    <t>covid_coverage_age</t>
  </si>
  <si>
    <t>transformed_covid_data</t>
  </si>
  <si>
    <t>influenza_first_dose_date</t>
  </si>
  <si>
    <t>influenza_second_dose_date</t>
  </si>
  <si>
    <t>influenza_coverage_dosage</t>
  </si>
  <si>
    <t>influenza_coverage_age</t>
  </si>
  <si>
    <t>transformed_influenza_data</t>
  </si>
  <si>
    <t>respondent_hypertension</t>
  </si>
  <si>
    <t>respondent_diabetes</t>
  </si>
  <si>
    <t>respondent_dyslipidemia</t>
  </si>
  <si>
    <t>respondent_pneumonia</t>
  </si>
  <si>
    <t>respondent_asthma</t>
  </si>
  <si>
    <t>respondent_atopic_dermatitis</t>
  </si>
  <si>
    <t>respondent_allergic_rhinitis</t>
  </si>
  <si>
    <t>respondent_periodontitis</t>
  </si>
  <si>
    <t>respondent_caries</t>
  </si>
  <si>
    <t>respondent_cataract</t>
  </si>
  <si>
    <t>respondent_angina</t>
  </si>
  <si>
    <t>respondent_stroke</t>
  </si>
  <si>
    <t>respondent_COPD</t>
  </si>
  <si>
    <t>respondent_kidney_disease</t>
  </si>
  <si>
    <t>respondent_hepatitis_cirrhosis</t>
  </si>
  <si>
    <t>respondent_immune_abnormalities</t>
  </si>
  <si>
    <t>respondent_cancer</t>
  </si>
  <si>
    <t>respondent_chronic_pain</t>
  </si>
  <si>
    <t>respondent_depression</t>
  </si>
  <si>
    <t>respondent_psychiatric_other</t>
  </si>
  <si>
    <t>respondent_employment_status</t>
  </si>
  <si>
    <t>respondent_industry_of_work</t>
  </si>
  <si>
    <t>perception_safety</t>
  </si>
  <si>
    <t>perception_infection_danger</t>
  </si>
  <si>
    <t>perception_immunisation_importance</t>
  </si>
  <si>
    <t>perception_immunisation_benefits</t>
  </si>
  <si>
    <t>perception_collective_immunisation</t>
  </si>
  <si>
    <t>perception_immunisation_sanctions</t>
  </si>
  <si>
    <t>perception_immunisation_adverse</t>
  </si>
  <si>
    <t>perception_immunisation_herd</t>
  </si>
  <si>
    <t>respondent_sex</t>
  </si>
  <si>
    <t>respondent_age</t>
  </si>
  <si>
    <t>child_parents</t>
  </si>
  <si>
    <t>child_auntcles</t>
  </si>
  <si>
    <t>vulnerable_individuals</t>
  </si>
  <si>
    <t>household_total</t>
  </si>
  <si>
    <t>child_grand</t>
  </si>
  <si>
    <t>sex_of_interest</t>
  </si>
  <si>
    <t>child_of_interest</t>
  </si>
  <si>
    <t>child_sisters</t>
  </si>
  <si>
    <t>child_brothers</t>
  </si>
  <si>
    <t>child_siblings</t>
  </si>
  <si>
    <t>parents_marital_status</t>
  </si>
  <si>
    <t>test_parents_marital_status</t>
  </si>
  <si>
    <t>parents_sexual_make_up</t>
  </si>
  <si>
    <t>parent_1_sex</t>
  </si>
  <si>
    <t>parent_2_sex</t>
  </si>
  <si>
    <t>parent_1_age</t>
  </si>
  <si>
    <t>household_income</t>
  </si>
  <si>
    <t>test_household_income</t>
  </si>
  <si>
    <t>parent_chronic_illness</t>
  </si>
  <si>
    <t>father_employment_status</t>
  </si>
  <si>
    <t>mother_employment_status</t>
  </si>
  <si>
    <t>parents_student_status</t>
  </si>
  <si>
    <t>parents_retired_status</t>
  </si>
  <si>
    <t>parents_stay_home</t>
  </si>
  <si>
    <t>mother_stay_home</t>
  </si>
  <si>
    <t>parents_healthcare</t>
  </si>
  <si>
    <t>father_highest_education</t>
  </si>
  <si>
    <t>mother_highest_education</t>
  </si>
  <si>
    <t>edu</t>
  </si>
  <si>
    <t>parents_highest_education</t>
  </si>
  <si>
    <t>parent_influenza</t>
  </si>
  <si>
    <t>parent_covid_doses</t>
  </si>
  <si>
    <t>parent_covid_coverage</t>
  </si>
  <si>
    <t>parents_time_since_covvax</t>
  </si>
  <si>
    <t>covid_outcomes_min</t>
  </si>
  <si>
    <t>parent_covid_exp_time</t>
  </si>
  <si>
    <t>transformed_independent_variable_data</t>
  </si>
  <si>
    <t>Date</t>
  </si>
  <si>
    <t>numeric</t>
  </si>
  <si>
    <t>factor</t>
  </si>
  <si>
    <t>integer</t>
  </si>
  <si>
    <t>character</t>
  </si>
  <si>
    <t>Date of birth of the respondent's first child</t>
  </si>
  <si>
    <t>Interval</t>
  </si>
  <si>
    <t>Date of birth of the respondent's second child</t>
  </si>
  <si>
    <t>Date of birth of the respondent's third child</t>
  </si>
  <si>
    <t>Units or Format</t>
  </si>
  <si>
    <t>YYYY-MM-DD</t>
  </si>
  <si>
    <t>Years</t>
  </si>
  <si>
    <t>No.</t>
  </si>
  <si>
    <t>Date of birth of the respondent's fourth child</t>
  </si>
  <si>
    <t>Date of birth of the respondent's fifth child</t>
  </si>
  <si>
    <t>Age of the respondent's first child</t>
  </si>
  <si>
    <t>Age of the respondent's second child</t>
  </si>
  <si>
    <t>Age of the respondent's third child</t>
  </si>
  <si>
    <t>Age of the respondent's fourth child</t>
  </si>
  <si>
    <t>Age of the respondent's fifth child</t>
  </si>
  <si>
    <t>Age of the child we're interested in (the respondent's eldest child under 18 y/o)</t>
  </si>
  <si>
    <t>When the child of interest received their first dose of the covid vaccine</t>
  </si>
  <si>
    <t>When the child of interest received their second dose of the covid vaccine</t>
  </si>
  <si>
    <t>When the child of interest received their third dose of the covid vaccine</t>
  </si>
  <si>
    <t>The number of doses of the covid vaccine the child of interest has received</t>
  </si>
  <si>
    <t>When the child of interest received their first dose of the influenza vaccine (as of 2022-10-01)</t>
  </si>
  <si>
    <t>When the child of interest received their second dose of the influenza vaccine (as of 2022-10-01)</t>
  </si>
  <si>
    <t>The number of doses of the influenza vaccine the child of interest has received</t>
  </si>
  <si>
    <t>The degree of vaccination coverage the child has obtained for the covid vaccine</t>
  </si>
  <si>
    <t>The degree of vaccination coverage the child has obtained for the influenza vaccine</t>
  </si>
  <si>
    <t>The number of parents living in the same household as the child of interest</t>
  </si>
  <si>
    <t>The number of aunts and uncles living in the same household as the child of interest</t>
  </si>
  <si>
    <t>The number of vulnerable individuals - individuals who are (close) bedridden, individuals who need medical care in the realm of ventilators, sputum aspiration, gastic waxing and tube feeding - living in the same household as the child of interest</t>
  </si>
  <si>
    <t>The total number of individuals living in the same household as the child of interest</t>
  </si>
  <si>
    <t>The number of great grandparents and grandparents living in the same household as the child of interest</t>
  </si>
  <si>
    <t>The biological sex of the child of interest</t>
  </si>
  <si>
    <t xml:space="preserve">The presence of a child of interest in the response </t>
  </si>
  <si>
    <t>The marital status of the child of interest's parents</t>
  </si>
  <si>
    <t>The marital status of the child of interest's parents but stratified</t>
  </si>
  <si>
    <t>The sexual composition of the child's parents based on their expressed sexual orientation</t>
  </si>
  <si>
    <t>Biological sex of the responding parent</t>
  </si>
  <si>
    <t>Biological sex of the parent's partner if the responding parent has indicated that they are married</t>
  </si>
  <si>
    <t>Age of the responding parent</t>
  </si>
  <si>
    <t>Annual household income in jpy</t>
  </si>
  <si>
    <t>The presence of a current chronic illness, past chronic illness or lack of experience with a chroic illness in the responding parent</t>
  </si>
  <si>
    <t>The type of employment of the child of interest's father</t>
  </si>
  <si>
    <t>The type of employment of the child of interest's mother</t>
  </si>
  <si>
    <t>Whether a child's mother, father or both paretns are currenty students</t>
  </si>
  <si>
    <t>Whether a child of interest's mother, father or both parents are retired</t>
  </si>
  <si>
    <t>Whether the child of interest's  mother, father or both parents are stay home parents</t>
  </si>
  <si>
    <t>Whether the child of interest's mother is a stay home mother</t>
  </si>
  <si>
    <t>Whether the responding parent works in the healthcare industry</t>
  </si>
  <si>
    <t>The highest level of education that the child of interest's father has completed</t>
  </si>
  <si>
    <t>The highest level of education that the child of interest's mother has completed</t>
  </si>
  <si>
    <t>The highest level of education that the child of interest's parents have completed</t>
  </si>
  <si>
    <t xml:space="preserve">Whether the child of interest's responding parent has received the influenza vaccine in the past year </t>
  </si>
  <si>
    <t>The number of doses of the vaccine that the child of interest's responding parent has received</t>
  </si>
  <si>
    <t>The degree of covid vaccination coverage the child of interest's responding parent has received, and their reasons for not receiving any coverage</t>
  </si>
  <si>
    <t>Time period within which the responding parent last received a covid vaccination</t>
  </si>
  <si>
    <t>Variable Name</t>
  </si>
  <si>
    <t>Labels</t>
  </si>
  <si>
    <t>1 Dose</t>
  </si>
  <si>
    <t>0 Doses</t>
  </si>
  <si>
    <t>2 Doses</t>
  </si>
  <si>
    <t>3 Doses</t>
  </si>
  <si>
    <t>Partial coverage with the covid vaccine</t>
  </si>
  <si>
    <t>Full coverage with the covid vaccine</t>
  </si>
  <si>
    <t>Full coverage with the influenza vaccine</t>
  </si>
  <si>
    <t>Partial coverage with the influenza vaccine</t>
  </si>
  <si>
    <t>No coverage with the influenza vaccine</t>
  </si>
  <si>
    <t>Male</t>
  </si>
  <si>
    <t>Female</t>
  </si>
  <si>
    <t>NA</t>
  </si>
  <si>
    <t>There is no child of interest present in this response</t>
  </si>
  <si>
    <t>There is a child of interest present in this response</t>
  </si>
  <si>
    <t>Married</t>
  </si>
  <si>
    <t>Bereaved</t>
  </si>
  <si>
    <t>Divorced</t>
  </si>
  <si>
    <t>Unmarried</t>
  </si>
  <si>
    <t>Not Married</t>
  </si>
  <si>
    <t>No covid vaccination status was provided for the child of interest</t>
  </si>
  <si>
    <t>No Influenza vaccination status was provided for the child of interest</t>
  </si>
  <si>
    <t>No sex value that is linked to an eligible child of interest, no child of interest</t>
  </si>
  <si>
    <t>No child of interest, thus the marital status of the child's parents is non-existent</t>
  </si>
  <si>
    <t>JPY 0</t>
  </si>
  <si>
    <t>&lt; 500,000 JPY</t>
  </si>
  <si>
    <t>500,000 yen to 1,000,000 yen</t>
  </si>
  <si>
    <t>1,000,000 yen or more and less than 2,000,000 yen</t>
  </si>
  <si>
    <t>2,000,000 yen or more and less than 3,000,000 yen</t>
  </si>
  <si>
    <t>3,000,000 yen or more and less than 4,000,000 yen</t>
  </si>
  <si>
    <t>4,000,000 yen or more and less than 5,000,000 yen</t>
  </si>
  <si>
    <t>5,000,000 yen or more and less than 6,000,000 yen</t>
  </si>
  <si>
    <t>6,000,000 yen or more and less than 7,000,000 yen</t>
  </si>
  <si>
    <t>7,000,000 yen or more and less than 8,000,000 yen</t>
  </si>
  <si>
    <t>8,000,000 yen or more and less than 9,000,000 yen</t>
  </si>
  <si>
    <t>9,000,000 yen or more and less than 10,000,000 yen</t>
  </si>
  <si>
    <t>10,000,000 yen and above</t>
  </si>
  <si>
    <t>No household income data was provided</t>
  </si>
  <si>
    <t>20,000,000 yen and above</t>
  </si>
  <si>
    <t>Responding parent currently has a chronic illness</t>
  </si>
  <si>
    <t>Responding parent has never had a chronic illness</t>
  </si>
  <si>
    <t xml:space="preserve">Responding parent has previously had a chronic illness from which they've already recovered </t>
  </si>
  <si>
    <t>No chronic illness status pertaining to the parent of the child of interest</t>
  </si>
  <si>
    <t>No employment status pertaining to the father of the child of interest</t>
  </si>
  <si>
    <t>Unemployed</t>
  </si>
  <si>
    <t>Regular office job</t>
  </si>
  <si>
    <t>Self or family employed</t>
  </si>
  <si>
    <t>Part-time or temp employment</t>
  </si>
  <si>
    <t>No employment status pertaining to the mother of the child of interest</t>
  </si>
  <si>
    <t>No valid status for if the parents of a valid child of interest are currently schooling</t>
  </si>
  <si>
    <t>Mother is currently a student</t>
  </si>
  <si>
    <t>Father is currently a student</t>
  </si>
  <si>
    <t>Both parents are currently students</t>
  </si>
  <si>
    <t>No valid retiremnet status of the parents  of a child of interest</t>
  </si>
  <si>
    <t>Both parents aren't retired</t>
  </si>
  <si>
    <t>Father is retired</t>
  </si>
  <si>
    <t>Mother is retired</t>
  </si>
  <si>
    <t>Both parents are retired</t>
  </si>
  <si>
    <t>No valid stay-home status of the parents  of a child of interest</t>
  </si>
  <si>
    <t>Neither parent stays home</t>
  </si>
  <si>
    <t>Neither parent is a student</t>
  </si>
  <si>
    <t>Father stays home</t>
  </si>
  <si>
    <t>Mother stays home</t>
  </si>
  <si>
    <t>Both parents stay home</t>
  </si>
  <si>
    <t>The mother of the child of interest doesn't stay home</t>
  </si>
  <si>
    <t>The mother of the child of interest stays home</t>
  </si>
  <si>
    <t>No valid stay-home status of the mother of a child of interest</t>
  </si>
  <si>
    <t>No valid status on if the responding parent, of a child of interest, works in healthcare</t>
  </si>
  <si>
    <t>The responding parent works in a non-healthcare industry</t>
  </si>
  <si>
    <t>The responding father works in a healthcare industry</t>
  </si>
  <si>
    <t>The responding mother works in a healthcare industry</t>
  </si>
  <si>
    <t>No valid status on the highest educational attainment of the father of a child of interest</t>
  </si>
  <si>
    <t>Tertiary</t>
  </si>
  <si>
    <t>Post-graduate</t>
  </si>
  <si>
    <t>No valid status on the highest educational attainment of the mother of a child of interest</t>
  </si>
  <si>
    <t>No valid status on the highest educational attainment of either parent  of a child of interest</t>
  </si>
  <si>
    <t>The responding parent has received  0 doses of the covid vaccine</t>
  </si>
  <si>
    <t>The responding parent has received the influenza vaccine in the past year</t>
  </si>
  <si>
    <t>The responding parent has not receiveid the influenza vaccine in the past year</t>
  </si>
  <si>
    <t>No valid status on the influenza vaccination status of the responding parent of a child of interest</t>
  </si>
  <si>
    <t>The responding parent is ineligible to receive the covid vaccine</t>
  </si>
  <si>
    <t>The responding parent has received  2 doses of the covid vaccine</t>
  </si>
  <si>
    <t>The responding parent has received  3 doses of the covid vaccine</t>
  </si>
  <si>
    <t>The responding parent has received  4 doses of the covid vaccine</t>
  </si>
  <si>
    <t>The responding parent has received  5 doses of the covid vaccine</t>
  </si>
  <si>
    <t>The responding parent has received  6 doses of the covid vaccine</t>
  </si>
  <si>
    <t>The responding parent has received  1 dose of the covid vaccine</t>
  </si>
  <si>
    <t>There is no valid covid vaccination status of the responding parent of a child of interest</t>
  </si>
  <si>
    <t>The responding parent is ineligbile to reveive the covid vaccine</t>
  </si>
  <si>
    <t>The responding parent is partially vaccinated with the covid vaccine</t>
  </si>
  <si>
    <t>The responding parent is fully vaccinated with the covid vaccine</t>
  </si>
  <si>
    <t>The responding parent is unsure about getting vaccinated with the covid vaccine and hasn’t been vaccinated yet</t>
  </si>
  <si>
    <t>The responding parent feels no need to get vaccinated with the covid vaccine and hasn’t been vaccinated yet</t>
  </si>
  <si>
    <t>The responding parent doesn't want to get vaccinated with the covid vaccine and hasn’t been vaccinated yet</t>
  </si>
  <si>
    <t>The responding parent last received the covid vaccine &gt; 1 year ago</t>
  </si>
  <si>
    <t>The responding parent last received the covid vaccine within a year but &gt; 6 months ago</t>
  </si>
  <si>
    <t>There is no valid data on when the responding parent of a child of interest last received the covid vaccine</t>
  </si>
  <si>
    <t>No "responding parent" as there is no child of interest</t>
  </si>
  <si>
    <t>No partner to the responding parent or to a child of interest (due to the lack of a child of interest)</t>
  </si>
  <si>
    <t>0 JPY</t>
  </si>
  <si>
    <t>Data Set</t>
  </si>
  <si>
    <t>__ Years</t>
  </si>
  <si>
    <t>Variable Class</t>
  </si>
  <si>
    <t>Numeric</t>
  </si>
  <si>
    <t>Factor</t>
  </si>
  <si>
    <t>Integer</t>
  </si>
  <si>
    <t>Units / Levels</t>
  </si>
  <si>
    <t>Derivation</t>
  </si>
  <si>
    <t>Dependency 1</t>
  </si>
  <si>
    <t>Dependency 2</t>
  </si>
  <si>
    <t>Dependency 3</t>
  </si>
  <si>
    <t>Variable</t>
  </si>
  <si>
    <t>Dataset</t>
  </si>
  <si>
    <t>child_1_DOB_year</t>
  </si>
  <si>
    <t>child_2_DOB_year</t>
  </si>
  <si>
    <t>child_3_DOB_year</t>
  </si>
  <si>
    <t>child_4_DOB_year</t>
  </si>
  <si>
    <t>child_5_DOB_year</t>
  </si>
  <si>
    <t>age_data</t>
  </si>
  <si>
    <t>covid_data</t>
  </si>
  <si>
    <t>child_1_DOB_month</t>
  </si>
  <si>
    <t>child_2_DOB_month</t>
  </si>
  <si>
    <t>child_3_DOB_month</t>
  </si>
  <si>
    <t>child_4_DOB_month</t>
  </si>
  <si>
    <t>child_5_DOB_month</t>
  </si>
  <si>
    <t>response_time</t>
  </si>
  <si>
    <t>child_x_age</t>
  </si>
  <si>
    <t>find the maximum value of child_x_age, that is under 18, where x is a number from 1 to 5</t>
  </si>
  <si>
    <t>merge the year and month in which child_1 was born</t>
  </si>
  <si>
    <t>merge the year and month in which child_2  was born</t>
  </si>
  <si>
    <t>merge the year and month in which child_3 was born</t>
  </si>
  <si>
    <t>merge the year and month in which child_5 was born</t>
  </si>
  <si>
    <t>merge the year and month in which child_4 was born</t>
  </si>
  <si>
    <t>covid_first_dose_year</t>
  </si>
  <si>
    <t>covid_first_dose_month</t>
  </si>
  <si>
    <t>covid_second_dose_year</t>
  </si>
  <si>
    <t>covid_second_dose_month</t>
  </si>
  <si>
    <t>covid_third_dose_year</t>
  </si>
  <si>
    <t>influenza_data</t>
  </si>
  <si>
    <t>covid_first_dose</t>
  </si>
  <si>
    <t>covid_second_dose</t>
  </si>
  <si>
    <t>covid_third_dose</t>
  </si>
  <si>
    <t>Dependency 4</t>
  </si>
  <si>
    <t>influenza_first_dose_year</t>
  </si>
  <si>
    <t>influenza_second_dose_year</t>
  </si>
  <si>
    <t>influenza_second_dose_month</t>
  </si>
  <si>
    <t>influenza_first_dose</t>
  </si>
  <si>
    <t>influenza_second_dose</t>
  </si>
  <si>
    <t>influenza_third_dose</t>
  </si>
  <si>
    <t>spouses</t>
  </si>
  <si>
    <t>independent_variable_data</t>
  </si>
  <si>
    <t>siblings</t>
  </si>
  <si>
    <t>need_ventilation</t>
  </si>
  <si>
    <t>need_feeding</t>
  </si>
  <si>
    <t>bedridden</t>
  </si>
  <si>
    <t>total_individuals</t>
  </si>
  <si>
    <t>parents_in_law</t>
  </si>
  <si>
    <t>grandparents</t>
  </si>
  <si>
    <t>child_x_sex</t>
  </si>
  <si>
    <t xml:space="preserve">where "x" in child_x_sex and child_x_age represent values from 1 to 5 respectively and thus the sexes and ages of the first to fifth child: 1. find x for the child who bears the age of interest; 2. find the sex of the child who corresponds to the age of interest which gives you the sex of the child you are interested in </t>
  </si>
  <si>
    <t>Derive whether a child of interest exhists for each response based on if a sex of interest can be extracted from the response. If none, there is no child of interest</t>
  </si>
  <si>
    <t>where "x" in child_x_sex corresponds to a value from 1 to 5, sum the number of children that are female and account for the sex of interest (if the child of interest is female) to get the number of sisters that the child of interest has</t>
  </si>
  <si>
    <t>where "x"in child_x_sex corresponds to a value from 1 to 5, sum the number of children that are male and account for the sex of interest (if the child of interest is male) to get the number of brothers that the child of interest has</t>
  </si>
  <si>
    <t>marital_status</t>
  </si>
  <si>
    <t>household_income_annual</t>
  </si>
  <si>
    <t>respondent_"chronic_illness"</t>
  </si>
  <si>
    <t>partner_employment_status</t>
  </si>
  <si>
    <t>Dependency 5</t>
  </si>
  <si>
    <t>highest_education</t>
  </si>
  <si>
    <t>highest_education_partner</t>
  </si>
  <si>
    <t>indpendent_variable_data</t>
  </si>
  <si>
    <t>influenza_vaccination_respondent</t>
  </si>
  <si>
    <t>covid_vaccination_respondent</t>
  </si>
  <si>
    <t>covid_vaccination_within1y</t>
  </si>
  <si>
    <t>covid_vaccination_within6m</t>
  </si>
  <si>
    <t xml:space="preserve">find the difference, in years, between the time of response and the date of birth of child 1 </t>
  </si>
  <si>
    <t>find the difference, in years, between the time of response and the date of birth of child 2</t>
  </si>
  <si>
    <t>find the difference, in years, between the time of response and the date of birth of child 3</t>
  </si>
  <si>
    <t>find the difference, in years, between the time of response and the date of birth of child 4</t>
  </si>
  <si>
    <t>find the difference, in years, between the time of response and the date of birth of child 5</t>
  </si>
  <si>
    <t>merge the year and month when the child of interest received their first dose of the covid vaccine</t>
  </si>
  <si>
    <t>merge the year and month when the child of interest received their second dose of the covid vaccine</t>
  </si>
  <si>
    <t>merge the year and month when the child of interest received their third dose of the covid vaccine</t>
  </si>
  <si>
    <t>count the number of doses of the covid vaccine which the child of interest has obtained, based on their highest receievd dose</t>
  </si>
  <si>
    <t>No coverage with the covid vaccine</t>
  </si>
  <si>
    <t>assign different levels of coverages based on the maximum number of doses of the covid vaccine that children of each age group can receive, age: &lt;6m (NA), 6m-5y (0 doses = no coverage, &gt;= 1 dose = full coverage), &gt;=5y (0 doses = no coverage, 1/2 doses = partial coverage, 3 doses = full coverage)</t>
  </si>
  <si>
    <t>merge the year and month of when the child of interest received their first dose of the influenza vaccine (as of 2022-10-01)</t>
  </si>
  <si>
    <t>merge the year and month of when the child of interest received their second dose of the influenza vaccine (as of 2022-10-01)</t>
  </si>
  <si>
    <t>count the number of doses of the influenza vaccine which the child of interest has received based on their highest received dose</t>
  </si>
  <si>
    <t>assign different levels of coverages based on the maximum number of doses of the influenza vaccine that a child of a specific age group can receive, age: &lt;0.5y = NA, &gt;=0.5y &amp; &lt;3y (0 doses = no coverage, &gt;= 1 dose = full coverage), &gt;= 3y &amp; &lt;13y (0 doses = no coverage, 1 dose = partial coverage, 2 doses = full coverage), &gt;= 13y &amp; &lt;18y (0 doses = no coverage, &gt;= 1 dose = full coverage)</t>
  </si>
  <si>
    <t>add 1 to the number of spouses  that the responding parent of the child of interest indicated were living in the same household as themselves</t>
  </si>
  <si>
    <t>count the number of brothers and sisters of the responding parent, living in the same household as the responding parent</t>
  </si>
  <si>
    <t>sum the number of individuals in the household who need ventilation, need feeding or are bedridden</t>
  </si>
  <si>
    <t>take the total number of members in the household</t>
  </si>
  <si>
    <t>sum the number of grandparens and  parents/parents in law of the responding parent, living in the same household as them</t>
  </si>
  <si>
    <t>given there is a child of interest, take the marital status of the responding parent whom the child is living in the same household as</t>
  </si>
  <si>
    <t>given there is a child of interest, take the marital status of the responding parent whom the child is living in the same household as, and classify their parent as being married or not</t>
  </si>
  <si>
    <t>take the sex of the responding parent</t>
  </si>
  <si>
    <t>given parents are married,</t>
  </si>
  <si>
    <t>take the age of the responding parent</t>
  </si>
  <si>
    <t>take the annual hosuehold income categories as responded up till 10,000,000 yen a year which corresponds with the top 10% percentile of earners</t>
  </si>
  <si>
    <t>where "chronic_illness" represents the 20 chronic illnesses asked about in the survey, we derive the responding parent's experience with chronic illnesses as: never (for never had for all 20 illnesses), previously had (if not currently having a chronic illness and previously had at least one chronic illness), currently having (when at least 1 chronic illness corresponds to currently have)</t>
  </si>
  <si>
    <t>stratify the type of employment that the child's father, based on the respodnent's sex (parent_1_sex) or the partner's sex (parent_2_sex) which will be mapped to the respondent or partner's employment status</t>
  </si>
  <si>
    <t>stratify the type of employment that the child's mother, based on the respodnent's sex (parent_1_sex) or the partner's sex (parent_2_sex) which will be mapped to the respondent or partner's employment status</t>
  </si>
  <si>
    <t>determine if the child's mother, father or both parents are students, based on the respodnent's sex (parent_1_sex) or the partner's sex (parent_2_sex) which will be mapped to the respondent or partner's employment status</t>
  </si>
  <si>
    <t>determine if the child's mother, father or both parents are retired, based on the respodnent's sex (parent_1_sex) or the partner's sex (parent_2_sex) which will be mapped to the respondent or partner's employment status</t>
  </si>
  <si>
    <t>determine if the child's mother, father or both parents are stay-home parents, based on the respodnent's sex (parent_1_sex) or the partner's sex (parent_2_sex) which will be mapped to the respondent or partner's employment status</t>
  </si>
  <si>
    <t>determine if the child's mother is a stay home parent, based on the respodnent's sex (parent_1_sex) or the partner's sex (parent_2_sex) which will be mapped to the respondent or partner's employment status</t>
  </si>
  <si>
    <t>determine if the child's responding mother or father works in healthcare, based on the respodnent's sex (parent_1_sex) or the partner's sex (parent_2_sex) which will be mapped to the respondent or partner's employment status</t>
  </si>
  <si>
    <t>determine the father's highest education, by determining which parent is the father (parent_1_sex and parent_2_sex) and by mapping it to the responding parent and their partner's educations</t>
  </si>
  <si>
    <t>determine the mother's highest education, by determining which parent is the father (parent_1_sex and parent_2_sex) and by mapping it to the responding parent and their partner's educations</t>
  </si>
  <si>
    <t>determine the highest educational attainment between both parents by taking the higher value out of the parents'</t>
  </si>
  <si>
    <t>extract the child of interest's responding parent's influenza vaccination status in the last year</t>
  </si>
  <si>
    <t>extract the number of doses of the covid vaccine which the child of interest's responding parent has received or allocate them as ineligible</t>
  </si>
  <si>
    <t>extract the degree of coverage by the covid vaccine which the responding parent has received: 1-2 doses (partial coverage), &gt;= 3 doses(full coverage), 0 doses (ineligible to receive the vaccine), 0 doses (unsure about getting vaccinated), 0 doses (feels no need to get vaccinated), 0 doses (doesn't want to be vaccinated)</t>
  </si>
  <si>
    <t>The responding parent last received the covid vaccine within 6 months</t>
  </si>
  <si>
    <t xml:space="preserve">derive the time period in which the parent last received a dose of the covid vaccine: covid_vaccination_within6m and covid_vaccination_within1y bot == 0 (&gt;1y), covid_vaccination_6m == 0 and covid_vaccination_within_1y == 1 (&gt;6m and &lt;1y), covid_vacciantion_within6m == 1 (&lt;6m) </t>
  </si>
  <si>
    <t>Legend</t>
  </si>
  <si>
    <t>To explore</t>
  </si>
  <si>
    <t>No relation</t>
  </si>
  <si>
    <t>explored, no dependency</t>
  </si>
  <si>
    <t>Vax uptake</t>
  </si>
  <si>
    <t>COI's familial factors</t>
  </si>
  <si>
    <t>XXXX</t>
  </si>
  <si>
    <t>what type of relationship the variables have</t>
  </si>
  <si>
    <t>test_father_highest_education</t>
  </si>
  <si>
    <t>test_mother_highest_education</t>
  </si>
  <si>
    <t>Majority of the unemployed population are mothers and (1415 / 1525 unemployed mothers are stay home mothers)</t>
  </si>
  <si>
    <t>birth_order</t>
  </si>
  <si>
    <t>The chronological order of the COI's birth in the family</t>
  </si>
  <si>
    <t>continuous</t>
  </si>
  <si>
    <t>Yes interaction</t>
  </si>
  <si>
    <t>Junior High or High school</t>
  </si>
  <si>
    <t>Junior/Technical college</t>
  </si>
  <si>
    <t>From (col) \ To (row)</t>
  </si>
  <si>
    <t>Summary?</t>
  </si>
  <si>
    <t>Vaccine uptake varies based on 3 different categories, can we leave it as a standalone variable</t>
  </si>
  <si>
    <t>single parent households have a lower income (mean category 6.9 vs 9.8)</t>
  </si>
  <si>
    <t>Relationship</t>
  </si>
  <si>
    <t>Single fathers have about the same mean income as dual parent families whilst, single mothers experience a much lower mean income</t>
  </si>
  <si>
    <t>&lt; 250,000 JPY</t>
  </si>
  <si>
    <t>1,500,000 JPY</t>
  </si>
  <si>
    <t>750,000 JPY</t>
  </si>
  <si>
    <t>2,500,000 JPY</t>
  </si>
  <si>
    <t>3,500,000 JPY</t>
  </si>
  <si>
    <t>4,500,000 JPY</t>
  </si>
  <si>
    <t>5,500,000 JPY</t>
  </si>
  <si>
    <t>6,500,000 JPY</t>
  </si>
  <si>
    <t>7,500,000 JPY</t>
  </si>
  <si>
    <t>8,500,000 JPY</t>
  </si>
  <si>
    <t>9,500,000 JPY</t>
  </si>
  <si>
    <t>11,000,000 JPY</t>
  </si>
  <si>
    <t>13,000,000 JPY</t>
  </si>
  <si>
    <t>17,000,000 JPY</t>
  </si>
  <si>
    <t>15,000,000 JPY</t>
  </si>
  <si>
    <t>19,000,000 JPY</t>
  </si>
  <si>
    <t>assign them the middle value of the income category that they fall into</t>
  </si>
  <si>
    <t>JPY</t>
  </si>
  <si>
    <t>unmarried have a lower mean income (4.6 M JPY/Y vs 7.6 M JPY/Y)</t>
  </si>
  <si>
    <t>almost no mothers stay home if they're divorced vs ~25% stay home if they’re married</t>
  </si>
  <si>
    <t>mean household size increases with marriage (3.2 v 3.9)</t>
  </si>
  <si>
    <t>children with married parents have 2 parents and vice versa</t>
  </si>
  <si>
    <t>siblings = -(income)^2</t>
  </si>
  <si>
    <t>parents highest education doesn't impact the proportion of mothers who stay home (26% to 33%)</t>
  </si>
  <si>
    <t>mean size doesn't change but more highsch/junior high have larger families (&gt;= 5)</t>
  </si>
  <si>
    <t>mean no of siblings inversley proportional to parents education</t>
  </si>
  <si>
    <t xml:space="preserve">income isn't related with the number of grandparents </t>
  </si>
  <si>
    <t>fathers (more so) and mothers being in healthcare are predictive of more recent covid vccinations</t>
  </si>
  <si>
    <t>fathers (more) and mothers in healthcare are much more likely to get the influenza vaccine</t>
  </si>
  <si>
    <t>parents in healthcare received a greater number of doses of the covid vaccine (3.5 vs 2.6)</t>
  </si>
  <si>
    <t>parents in healthcare harbour less negative sentiments toward the covid vaccine</t>
  </si>
  <si>
    <t>a more recen t covid vaccination is associated with having obtained more doses of the vaccine</t>
  </si>
  <si>
    <t>having a parent with chronic illness isn't assocaited with vulnerable individuals</t>
  </si>
  <si>
    <t>fathers and mothers with chronic illnesses were more likely to have the influenza vaccine</t>
  </si>
  <si>
    <t>parents without a chronic illnes were more opposed (5) to getting the covid vaccine, all else is equal</t>
  </si>
  <si>
    <t>being unmarried is associated with current chronic illness</t>
  </si>
  <si>
    <t>mothers staying home is associated with lower income</t>
  </si>
  <si>
    <t>no stay-home mum is associated with more grandparents at home (6.8 %  vs 3.6%)</t>
  </si>
  <si>
    <t>the age of children of single fathers Is much higher</t>
  </si>
  <si>
    <t>postgrad (11) &gt; tertiary (8.2) &gt; JC (6.8) &gt;= HS (6.2)</t>
  </si>
  <si>
    <t>postgrad (9.8) &gt; tertiary (8.0) &gt; JC (6.3) &gt;= HS (6.2)</t>
  </si>
  <si>
    <t>postgrad (9.7) &gt; tertiary (8) &gt; JC (6) &gt; HS  (5.8)</t>
  </si>
  <si>
    <t>A higher educational attainment by mothers results in a greater increase in mean annual household income vs the equivalent educational attainment by fathers</t>
  </si>
  <si>
    <t>Mothers of single parent children are more likely to have a lower educational attainment (JC and HS)</t>
  </si>
  <si>
    <t>The household income is more in line with the income levels as provided by the fathers highest educational level</t>
  </si>
  <si>
    <t>variable (###)</t>
  </si>
  <si>
    <t>interaction variables (####)</t>
  </si>
  <si>
    <t>education</t>
  </si>
  <si>
    <t>The proportion of married mothers who stay home decreases as the mother's educational attainment increases whilst the proportion of unmarried mothers who stay home stay low regardless of educational attainment</t>
  </si>
  <si>
    <t>find the child that matches the age of interest e.g. if the age of interest is associated with child_1_age then it is the first child, where x in child_x_age is a value from 1 to 5. And then, add the number of children over 18</t>
  </si>
  <si>
    <t>children_over_18</t>
  </si>
  <si>
    <t>sum the number of brothers and sisters (&lt;18 Y/o) that the child of interest has</t>
  </si>
  <si>
    <t>The position that the COI is in by chronological order of births in their family (for children both under and over 18)</t>
  </si>
  <si>
    <t>The number of siblings (&lt;18y/o) the child of interest has</t>
  </si>
  <si>
    <t>The number of sisters (&lt;18 y/o) the child of interest has</t>
  </si>
  <si>
    <t>The number of brothers (&lt; 18 y/o) the child of interest has</t>
  </si>
  <si>
    <t>The number of brothers (&lt; 18y.o) that the child of interest has</t>
  </si>
  <si>
    <t>The number of sisters (&lt;18 y.o) that the child of interest has</t>
  </si>
  <si>
    <t>Summary</t>
  </si>
  <si>
    <t>Yes/No interaction</t>
  </si>
  <si>
    <t>Effect modifier</t>
  </si>
  <si>
    <t>plot prefix</t>
  </si>
  <si>
    <t>income_marital_father_mother_education_</t>
  </si>
  <si>
    <t>income_father_mother_education_influenza_</t>
  </si>
  <si>
    <t>Characteristic to look out for</t>
  </si>
  <si>
    <t>The differring slopes of uptake against income between fathers of different educational levels</t>
  </si>
  <si>
    <t>The differring slopes of uptake against income between mothers of different educational levels</t>
  </si>
  <si>
    <t>Questions</t>
  </si>
  <si>
    <t>is this a triple interaction between marital, education and income</t>
  </si>
  <si>
    <t>stratified by</t>
  </si>
  <si>
    <t>mother_highest_education*test_household_income</t>
  </si>
  <si>
    <t>father_highest_education*test_household_income</t>
  </si>
  <si>
    <t>Uptakes affected</t>
  </si>
  <si>
    <t>Influenza</t>
  </si>
  <si>
    <t>Covid</t>
  </si>
  <si>
    <t>Both</t>
  </si>
  <si>
    <t>(test_)income_mother_stay_home_covid_age</t>
  </si>
  <si>
    <t>test_parent_marital_status</t>
  </si>
  <si>
    <t>for a given income level, differing employment statuses don't affect the uptake of the covid vaccine</t>
  </si>
  <si>
    <t>pending</t>
  </si>
  <si>
    <t>income_mother_stay_home_employment_</t>
  </si>
  <si>
    <t>The slope for partial uptake for mothers who are self/family employed differs from the others</t>
  </si>
  <si>
    <t>The differring slopes of uptake against income  for different mother_stay_home</t>
  </si>
  <si>
    <t>mother_stay_home*test_household_income</t>
  </si>
  <si>
    <t>Proposed outcome</t>
  </si>
  <si>
    <t>???</t>
  </si>
  <si>
    <t>income_mother_stay_home_father_employment_</t>
  </si>
  <si>
    <t>I don't think a mother staying home causes variations in uptake for a given father employment status,</t>
  </si>
  <si>
    <t>The differring slopes of uptake against income between maximum educational attainments of parents</t>
  </si>
  <si>
    <t>parents_highest_education*test_household_income</t>
  </si>
  <si>
    <t>The proportion of children who received no coverage, for single mothers (parents'marital status == 1), increased with increasing income</t>
  </si>
  <si>
    <t>I don't think there's any sort of interaction here with the exception that the income levels generally cut off at half of the maximum level</t>
  </si>
  <si>
    <t>income_child_parents_</t>
  </si>
  <si>
    <t>Similar gradients for uptake with increasing income , with either 1 or 2 parents</t>
  </si>
  <si>
    <t xml:space="preserve">(birth_order*age_of_interest) not enough data to determine, but maybe look at children of birth order 2 </t>
  </si>
  <si>
    <t>The proportion of children of birth order = 2 who are getting fully vaccinated decreases as age increases, in contrast to an increase with age for birth order 1 and 3</t>
  </si>
  <si>
    <t>Is the data for those of birth order 2 sufficient? Also should we class this by age_cat instead</t>
  </si>
  <si>
    <t>age_birth_order_</t>
  </si>
  <si>
    <t>test_child_siblings</t>
  </si>
  <si>
    <t>transformed_transformed_independent_variable_data</t>
  </si>
  <si>
    <t>The_The number of siblings (both under and over 18y/o) the child of interest has</t>
  </si>
  <si>
    <t>The number of siblings (&lt;18 y/o and &gt; 18 y/o) that the child of interest has</t>
  </si>
  <si>
    <t>The number of siblings (&lt;18y/0) that the child of interest has</t>
  </si>
  <si>
    <t>sum the number of brothers &amp; sisters the COI has and children over 18 in the household</t>
  </si>
  <si>
    <t>Taken from transformed_age_data</t>
  </si>
  <si>
    <t>age_cat</t>
  </si>
  <si>
    <t>category of schooling that the COI falls into based on their age as of Apr 2nd 2023</t>
  </si>
  <si>
    <t>pre</t>
  </si>
  <si>
    <t>primary</t>
  </si>
  <si>
    <t>high</t>
  </si>
  <si>
    <t>Child is of the age to be in preschool</t>
  </si>
  <si>
    <t>Child is of the age to be in primary school</t>
  </si>
  <si>
    <t>Child is of the age to be in junior high or high school</t>
  </si>
  <si>
    <t>No COI to derive age and thus age_cat data from</t>
  </si>
  <si>
    <t>child &lt; 6 y/o as of 2nd April 2023</t>
  </si>
  <si>
    <t>child &gt; 6 y/o and &lt; 12 y/o as of 2nd April 2023</t>
  </si>
  <si>
    <t>child &gt; 12 y/o as of 2nd April 2023</t>
  </si>
  <si>
    <t>child_sibligns</t>
  </si>
  <si>
    <t>child_siblings*age_of_interest*age_cat (??)</t>
  </si>
  <si>
    <t>The increase in full vaccination increases as the number of siblings increases</t>
  </si>
  <si>
    <t>age_child_siblings_</t>
  </si>
  <si>
    <t>Yes</t>
  </si>
  <si>
    <t>Followup</t>
  </si>
  <si>
    <t>NO</t>
  </si>
  <si>
    <t>Having both a postgraduate mother and postgraduate father result in an increased slope</t>
  </si>
  <si>
    <t>mother_highest_education(postgrad)*father_highest_education(postgrad)*test_household_income</t>
  </si>
  <si>
    <t>father_highest_education(postgrad)*mother_highest_education(postgrad)</t>
  </si>
  <si>
    <t>Both junior college/technical college parents results in a decreased uptake with income</t>
  </si>
  <si>
    <t>father_highest_education(JCTC)*mother_highest_education(JCTC)*test_household_income</t>
  </si>
  <si>
    <t>father_highest_education(JCTC)*mother_highest_education(JCTC)</t>
  </si>
  <si>
    <t>father_highest_education(postgrad)</t>
  </si>
  <si>
    <t>mother_highest_education(postgrad)</t>
  </si>
  <si>
    <t>different slopes  for different age cats</t>
  </si>
  <si>
    <t>age_cat*age_of_interest</t>
  </si>
  <si>
    <t>Refer to new definitions of 0 0 employment status and stay home</t>
  </si>
  <si>
    <t>having 2 parents for an child of an unmarried couple results in a greater increase than for having 2 parents of a child of a married couple</t>
  </si>
  <si>
    <t>child_parents*test_parents_marital_status</t>
  </si>
  <si>
    <t>Too little data to draw conclusions</t>
  </si>
  <si>
    <t>child_parents_marital_status_</t>
  </si>
  <si>
    <t>Refer to ANCOVA</t>
  </si>
  <si>
    <t>vulnerable_indivs_child_grand_</t>
  </si>
  <si>
    <t>vulnerable_individuals * child_grand</t>
  </si>
  <si>
    <t>vulnerable_individauls</t>
  </si>
  <si>
    <t>Having a grandparent at home when there is a vulnerable individual at home further increases uptake</t>
  </si>
  <si>
    <t>Not enough data</t>
  </si>
  <si>
    <t>vulnerable_indivs_income</t>
  </si>
  <si>
    <t>Having a vulnerable individual increases the uptake of vaccination as income increases</t>
  </si>
  <si>
    <t>vulnerable_individuals*test_household_income</t>
  </si>
  <si>
    <t>Not enough data? Is it possible to run some sort of weight, based o nt</t>
  </si>
  <si>
    <t>vulnerable_indivs_parent_chronic_illness</t>
  </si>
  <si>
    <t xml:space="preserve">A parent who currently has a crhonic illness in a household is much less likely to have their child vaccinated </t>
  </si>
  <si>
    <t>we can't really draw conclusions for parents with past chronic illnesses or even those without</t>
  </si>
  <si>
    <t>vulnerable_individuals * parent_chronic_illness</t>
  </si>
  <si>
    <t>vulnerable_individuals * parent_chronic_illness * child_grand * test_household_income</t>
  </si>
  <si>
    <t>No conclusion to be drawn??</t>
  </si>
  <si>
    <t>insufficient data to draw inferences for interactions</t>
  </si>
  <si>
    <t>vulnerable_indivs_child_grand_income_parent_chronic</t>
  </si>
  <si>
    <t>household_total_child_grand_</t>
  </si>
  <si>
    <t>The presence of grandparents in a household directly affects the uptake of the vaccine as household_total changes</t>
  </si>
  <si>
    <t>household_total*child_grand</t>
  </si>
  <si>
    <t>chilg_grand</t>
  </si>
  <si>
    <t>household_total*child_grand*parents_highest_education</t>
  </si>
  <si>
    <t>This is just so weird man</t>
  </si>
  <si>
    <t>The presence of grandparents in a household affects the uptake of the vaccine as the household changes for different highest educations of the parents themselves</t>
  </si>
  <si>
    <t>household_total_child_grand_parent_education</t>
  </si>
  <si>
    <t>Insufficient data to make a decision</t>
  </si>
  <si>
    <t>household_total_child_grand_parent_marital</t>
  </si>
  <si>
    <t>household_total*child_grand*test_paretns_marital_status</t>
  </si>
  <si>
    <t>The same coloured lines are still parallel - The marital status of the responding parent doesn't really alter how the presence of grandaparents in a household changes the trends of uptake with an increasing number of individuals</t>
  </si>
  <si>
    <t>househokd_total*test_parents_marital_status</t>
  </si>
  <si>
    <t>Being unmarried results in a decrease in the uptake of the covid vax in the COI as the total household size increases</t>
  </si>
  <si>
    <t>household_total_child_parents_marital</t>
  </si>
  <si>
    <t>Too Little data to draw any sort of inference</t>
  </si>
  <si>
    <t>household_total_parent_marital_income</t>
  </si>
  <si>
    <t>I see no significant slope change in uptake with increasing household size. For both parents who are married and unmarried across different income groups</t>
  </si>
  <si>
    <t>household_total*test_parents_marital_status*test_household_income</t>
  </si>
  <si>
    <t>No?</t>
  </si>
  <si>
    <t>household_total_highest_education</t>
  </si>
  <si>
    <t>Education levels don’t seem to affect the uptake of the covid vaccine with increasing household sizes (all have roughly the same slope whichh is straight)</t>
  </si>
  <si>
    <t>household_total*parents_higest_education</t>
  </si>
  <si>
    <t>Seems to be no noticeable slope changes (based on the spread of the data points too) to indicate that there is any sort of change in uptake as the household size increases, for different parents_highest_educations</t>
  </si>
  <si>
    <t>household_total_siblings_test_siblings</t>
  </si>
  <si>
    <t xml:space="preserve">The number of siblings and test siblgns affect the uptake with increasing household size in the same way. As the number of siblings in a household increases, it seems that the uptake of the covid vaccine with an increasing number of household members decreases instead of increasing (for the covid vaccine) </t>
  </si>
  <si>
    <t>household_total*tes_child_siblings (3+)</t>
  </si>
  <si>
    <t>Is the change in direction of the slope of uptake fir the covid vaccine significant of some sort of interaction?</t>
  </si>
  <si>
    <t>siblings_over_18</t>
  </si>
  <si>
    <t>The number of siblings that the COI has who are .&gt; 18y/o</t>
  </si>
  <si>
    <t>The number of siblings (&gt;18 y/o) that the child of interest has</t>
  </si>
  <si>
    <t>Equates to the number of children who are over 18 in the household</t>
  </si>
  <si>
    <t>No</t>
  </si>
  <si>
    <t>include in diff models</t>
  </si>
  <si>
    <t>include in different models</t>
  </si>
  <si>
    <t>test_parents_highest_education</t>
  </si>
  <si>
    <t>Junior College</t>
  </si>
  <si>
    <t>Technical College</t>
  </si>
  <si>
    <t>Vocational School</t>
  </si>
  <si>
    <t>determine the mother's highest education, by determining which parent is the father (parent_1_sex and parent_2_sex) and by mapping it to the responding parent and their partner's (test) educations</t>
  </si>
  <si>
    <t>determine the father's highest education, by determining which parent is the father (parent_1_sex and parent_2_sex) and by mapping it to the responding parent and their partner's (test) educations</t>
  </si>
  <si>
    <t>determine the highest educational attainment between both parents by taking the higher value out of the parents' test educations</t>
  </si>
  <si>
    <t>The highest level of education that the COI's  parents have completed. With VC, TC and JC put into their individual groups</t>
  </si>
  <si>
    <t>The highest level of education that the child of interest's father has completed but JCs, TCs And VCs are classd as their own schooling categories</t>
  </si>
  <si>
    <t>mother_employment_status(0) * mother_stay_home (0) * test_household_income</t>
  </si>
  <si>
    <t>test_mother_highest_father_highest_education_</t>
  </si>
  <si>
    <t>test_mother_highest_test_father_highest_education_</t>
  </si>
  <si>
    <t>Having fathers in JC or VS significantly decreases the uptake of the covid vaccine</t>
  </si>
  <si>
    <t>test_father_highest_education (VS) * test_mother_highest_education (VS, JC)</t>
  </si>
  <si>
    <t>mother_highest_test_father_highest_education</t>
  </si>
  <si>
    <t>test_father_highest_education (VS)</t>
  </si>
  <si>
    <t>Yes?</t>
  </si>
  <si>
    <t>child_grand_income</t>
  </si>
  <si>
    <t>child_grand * test_household_income</t>
  </si>
  <si>
    <t>Having a (presence) grandparent reduces the uptake of both vaccines as household income increases, whereas the uptake increases with household income otherwise</t>
  </si>
  <si>
    <t>child_grand_parents</t>
  </si>
  <si>
    <t>An increasing number of grandparents reduces the uptakeof both vaccines when the child only has 1 parent as opposed to increasing the uptake of vaccines when the child has 2 parents</t>
  </si>
  <si>
    <t>child_grand * child_parents</t>
  </si>
  <si>
    <t>child_grand_parents_income</t>
  </si>
  <si>
    <t>child_grand * child_parents * test_household_income</t>
  </si>
  <si>
    <t>Having 1 or 2 parents doesn't change the relationship between the number of grandparents and test_household_income on vaccine uptake</t>
  </si>
  <si>
    <t>Too many outliers that are skewing the results</t>
  </si>
  <si>
    <t>child_grand_siblings_over_18_income</t>
  </si>
  <si>
    <t>child_grand * siblings_over_18 * test_household_income</t>
  </si>
  <si>
    <t>Not enough data to determine how the number of siblings over 18 impacts the relationship between income and uptake for different number of grandparents in a household</t>
  </si>
  <si>
    <t>Too little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</si>
</sst>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scheme val="minor"/>
    </font>
    <font>
      <sz val="6"/>
      <name val="Calibri"/>
      <family val="3"/>
      <charset val="128"/>
      <scheme val="minor"/>
    </font>
    <font>
      <b/>
      <sz val="11"/>
      <color theme="1"/>
      <name val="Calibri"/>
      <family val="2"/>
      <scheme val="minor"/>
    </font>
    <font>
      <sz val="11"/>
      <color rgb="FFFF0000"/>
      <name val="Calibri"/>
      <family val="2"/>
      <scheme val="minor"/>
    </font>
    <font>
      <b/>
      <u/>
      <sz val="11"/>
      <color theme="1"/>
      <name val="Calibri"/>
      <family val="2"/>
      <scheme val="minor"/>
    </font>
    <font>
      <sz val="11"/>
      <name val="Calibri"/>
      <family val="2"/>
      <scheme val="minor"/>
    </font>
  </fonts>
  <fills count="15">
    <fill>
      <patternFill patternType="none"/>
    </fill>
    <fill>
      <patternFill patternType="gray125"/>
    </fill>
    <fill>
      <patternFill patternType="solid">
        <fgColor theme="2"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2" tint="-0.499984740745262"/>
        <bgColor indexed="64"/>
      </patternFill>
    </fill>
    <fill>
      <patternFill patternType="solid">
        <fgColor theme="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theme="2"/>
      </left>
      <right style="thin">
        <color theme="2"/>
      </right>
      <top style="thin">
        <color theme="2"/>
      </top>
      <bottom style="thin">
        <color theme="2"/>
      </bottom>
      <diagonal/>
    </border>
  </borders>
  <cellStyleXfs count="1">
    <xf numFmtId="0" fontId="0" fillId="0" borderId="0"/>
  </cellStyleXfs>
  <cellXfs count="34">
    <xf numFmtId="0" fontId="0" fillId="0" borderId="0" xfId="0"/>
    <xf numFmtId="0" fontId="3" fillId="0" borderId="0" xfId="0" applyFont="1"/>
    <xf numFmtId="0" fontId="0" fillId="0" borderId="0" xfId="0" applyAlignment="1">
      <alignment wrapText="1"/>
    </xf>
    <xf numFmtId="0" fontId="0" fillId="2" borderId="0" xfId="0" applyFill="1" applyAlignment="1">
      <alignment wrapText="1"/>
    </xf>
    <xf numFmtId="0" fontId="0" fillId="2" borderId="0" xfId="0" applyFill="1"/>
    <xf numFmtId="0" fontId="0" fillId="4" borderId="0" xfId="0" applyFill="1" applyAlignment="1">
      <alignment wrapText="1"/>
    </xf>
    <xf numFmtId="0" fontId="0" fillId="4" borderId="0" xfId="0" applyFill="1"/>
    <xf numFmtId="0" fontId="0" fillId="5" borderId="0" xfId="0" applyFill="1" applyAlignment="1">
      <alignment wrapText="1"/>
    </xf>
    <xf numFmtId="0" fontId="0" fillId="5" borderId="0" xfId="0" applyFill="1"/>
    <xf numFmtId="0" fontId="3" fillId="0" borderId="0" xfId="0" applyFont="1" applyAlignment="1">
      <alignment wrapText="1"/>
    </xf>
    <xf numFmtId="0" fontId="1" fillId="0" borderId="0" xfId="0" applyFont="1"/>
    <xf numFmtId="0" fontId="0" fillId="3" borderId="0" xfId="0" applyFill="1"/>
    <xf numFmtId="0" fontId="5" fillId="0" borderId="0" xfId="0" applyFont="1"/>
    <xf numFmtId="0" fontId="0" fillId="6" borderId="0" xfId="0" applyFill="1"/>
    <xf numFmtId="0" fontId="4" fillId="7" borderId="0" xfId="0" applyFont="1" applyFill="1"/>
    <xf numFmtId="0" fontId="0" fillId="8" borderId="0" xfId="0" applyFill="1"/>
    <xf numFmtId="0" fontId="0" fillId="9" borderId="0" xfId="0" applyFill="1"/>
    <xf numFmtId="0" fontId="0" fillId="6" borderId="0" xfId="0" applyFill="1" applyAlignment="1">
      <alignment wrapText="1"/>
    </xf>
    <xf numFmtId="0" fontId="0" fillId="0" borderId="0" xfId="0" applyAlignment="1">
      <alignment horizontal="center" wrapText="1"/>
    </xf>
    <xf numFmtId="0" fontId="0" fillId="3" borderId="0" xfId="0" applyFill="1" applyAlignment="1">
      <alignment wrapText="1"/>
    </xf>
    <xf numFmtId="3" fontId="0" fillId="0" borderId="0" xfId="0" applyNumberFormat="1"/>
    <xf numFmtId="0" fontId="6" fillId="2" borderId="0" xfId="0" applyFont="1" applyFill="1"/>
    <xf numFmtId="0" fontId="6" fillId="2" borderId="0" xfId="0" applyFont="1" applyFill="1" applyAlignment="1">
      <alignment wrapText="1"/>
    </xf>
    <xf numFmtId="0" fontId="0" fillId="10" borderId="0" xfId="0" applyFill="1"/>
    <xf numFmtId="0" fontId="3" fillId="10" borderId="0" xfId="0" applyFont="1" applyFill="1"/>
    <xf numFmtId="0" fontId="0" fillId="11" borderId="1" xfId="0" applyFill="1" applyBorder="1"/>
    <xf numFmtId="0" fontId="0" fillId="12" borderId="1" xfId="0" applyFill="1" applyBorder="1"/>
    <xf numFmtId="0" fontId="0" fillId="10" borderId="1" xfId="0" applyFill="1" applyBorder="1"/>
    <xf numFmtId="0" fontId="0" fillId="13" borderId="1" xfId="0" applyFill="1" applyBorder="1"/>
    <xf numFmtId="0" fontId="0" fillId="14" borderId="1" xfId="0" applyFill="1" applyBorder="1"/>
    <xf numFmtId="0" fontId="0" fillId="7" borderId="1" xfId="0" applyFill="1" applyBorder="1"/>
    <xf numFmtId="0" fontId="0" fillId="8" borderId="1" xfId="0" applyFill="1" applyBorder="1"/>
    <xf numFmtId="0" fontId="0" fillId="4" borderId="2" xfId="0" applyFill="1" applyBorder="1"/>
    <xf numFmtId="0" fontId="0" fillId="0" borderId="0" xfId="0" applyFill="1"/>
  </cellXfs>
  <cellStyles count="1">
    <cellStyle name="Normal" xfId="0" builtinId="0"/>
  </cellStyles>
  <dxfs count="5">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Kevin Wang" id="{018BAD65-E158-4456-AEB2-B6F599AC9FA9}" userId="aa11382e36a27e4c"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Z1" dT="2025-04-17T06:44:16.29" personId="{018BAD65-E158-4456-AEB2-B6F599AC9FA9}" id="{F627B11A-9966-4DAF-9CD9-36B5D028D9EE}" done="1">
    <text>Remove once we’ve determined how to stratify by disease</text>
  </threadedComment>
  <threadedComment ref="CD1" dT="2025-04-17T05:57:08.19" personId="{018BAD65-E158-4456-AEB2-B6F599AC9FA9}" id="{E5BA077E-7025-4391-8B23-A38BD7E65674}" done="1">
    <text xml:space="preserve">Remove retired status and student status? (due to the low number of respondents who fall into these categories)
</text>
  </threadedComment>
</ThreadedComments>
</file>

<file path=xl/threadedComments/threadedComment2.xml><?xml version="1.0" encoding="utf-8"?>
<ThreadedComments xmlns="http://schemas.microsoft.com/office/spreadsheetml/2018/threadedcomments" xmlns:x="http://schemas.openxmlformats.org/spreadsheetml/2006/main">
  <threadedComment ref="L68" dT="2025-04-22T08:11:08.78" personId="{018BAD65-E158-4456-AEB2-B6F599AC9FA9}" id="{869B55B9-3B1F-4453-9A39-E466CC7906FC}">
    <text xml:space="preserve">How should we define the number of parents a child has, the numebr of spouses livignin the same household? Or the marital status of the responding parent
there are cases where parents = 1 but the responding parent is still married, and in such cases where the other parent isn’t living in the same hosuehold as them they still may have an influence on their childs’vaccination
cases where parents = 2 but they arent married, i.e. divorced both parents might still have a say in the child’s vaccination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T9"/>
  <sheetViews>
    <sheetView topLeftCell="CF1" zoomScale="53" zoomScaleNormal="100" workbookViewId="0">
      <selection activeCell="CI3" sqref="CI3"/>
    </sheetView>
  </sheetViews>
  <sheetFormatPr defaultRowHeight="14.5"/>
  <cols>
    <col min="1" max="1" width="20.1796875" bestFit="1" customWidth="1"/>
    <col min="2" max="2" width="20.7265625" customWidth="1"/>
    <col min="3" max="3" width="21.81640625" customWidth="1"/>
    <col min="4" max="12" width="20.08984375" bestFit="1" customWidth="1"/>
    <col min="13" max="13" width="20.08984375" customWidth="1"/>
    <col min="14" max="14" width="21.6328125" bestFit="1" customWidth="1"/>
    <col min="15" max="15" width="22.08984375" bestFit="1" customWidth="1"/>
    <col min="16" max="18" width="21.6328125" bestFit="1" customWidth="1"/>
    <col min="19" max="19" width="24.90625" bestFit="1" customWidth="1"/>
    <col min="20" max="20" width="25.453125" bestFit="1" customWidth="1"/>
    <col min="21" max="22" width="24.90625" bestFit="1" customWidth="1"/>
    <col min="23" max="54" width="35.81640625" style="4" bestFit="1" customWidth="1"/>
    <col min="55" max="61" width="35.81640625" bestFit="1" customWidth="1"/>
    <col min="62" max="62" width="22.90625" bestFit="1" customWidth="1"/>
    <col min="63" max="63" width="22.90625" customWidth="1"/>
    <col min="64" max="64" width="35.81640625" style="21" bestFit="1" customWidth="1"/>
    <col min="65" max="65" width="35.81640625" style="4" bestFit="1" customWidth="1"/>
    <col min="66" max="66" width="35.81640625" bestFit="1" customWidth="1"/>
    <col min="67" max="68" width="35.81640625" customWidth="1"/>
    <col min="69" max="69" width="35.81640625" style="4" bestFit="1" customWidth="1"/>
    <col min="70" max="70" width="35.81640625" style="13" bestFit="1" customWidth="1"/>
    <col min="71" max="71" width="35.81640625" style="4" bestFit="1" customWidth="1"/>
    <col min="72" max="74" width="35.81640625" bestFit="1" customWidth="1"/>
    <col min="75" max="75" width="35.81640625" style="4" bestFit="1" customWidth="1"/>
    <col min="76" max="79" width="35.81640625" bestFit="1" customWidth="1"/>
    <col min="80" max="82" width="35.81640625" style="4" bestFit="1" customWidth="1"/>
    <col min="83" max="86" width="35.81640625" bestFit="1" customWidth="1"/>
    <col min="87" max="88" width="35.81640625" style="6" customWidth="1"/>
    <col min="89" max="89" width="35.81640625" style="8" bestFit="1" customWidth="1"/>
    <col min="90" max="90" width="35.81640625" bestFit="1" customWidth="1"/>
    <col min="91" max="91" width="35.81640625" style="6" customWidth="1"/>
    <col min="92" max="95" width="35.81640625" bestFit="1" customWidth="1"/>
    <col min="96" max="97" width="35.81640625" style="7" bestFit="1" customWidth="1"/>
  </cols>
  <sheetData>
    <row r="1" spans="1:98">
      <c r="A1" s="1" t="s">
        <v>0</v>
      </c>
      <c r="B1" t="s">
        <v>5</v>
      </c>
      <c r="C1" t="s">
        <v>6</v>
      </c>
      <c r="D1" t="s">
        <v>7</v>
      </c>
      <c r="E1" t="s">
        <v>8</v>
      </c>
      <c r="F1" t="s">
        <v>9</v>
      </c>
      <c r="G1" t="s">
        <v>10</v>
      </c>
      <c r="H1" t="s">
        <v>11</v>
      </c>
      <c r="I1" t="s">
        <v>12</v>
      </c>
      <c r="J1" t="s">
        <v>13</v>
      </c>
      <c r="K1" t="s">
        <v>14</v>
      </c>
      <c r="L1" t="s">
        <v>15</v>
      </c>
      <c r="M1" t="s">
        <v>385</v>
      </c>
      <c r="N1" t="s">
        <v>17</v>
      </c>
      <c r="O1" t="s">
        <v>18</v>
      </c>
      <c r="P1" t="s">
        <v>19</v>
      </c>
      <c r="Q1" t="s">
        <v>20</v>
      </c>
      <c r="R1" t="s">
        <v>21</v>
      </c>
      <c r="S1" t="s">
        <v>23</v>
      </c>
      <c r="T1" t="s">
        <v>24</v>
      </c>
      <c r="U1" t="s">
        <v>25</v>
      </c>
      <c r="V1" t="s">
        <v>26</v>
      </c>
      <c r="W1" s="4" t="s">
        <v>28</v>
      </c>
      <c r="X1" s="4" t="s">
        <v>29</v>
      </c>
      <c r="Y1" s="4" t="s">
        <v>30</v>
      </c>
      <c r="Z1" s="4" t="s">
        <v>31</v>
      </c>
      <c r="AA1" s="4" t="s">
        <v>32</v>
      </c>
      <c r="AB1" s="4" t="s">
        <v>33</v>
      </c>
      <c r="AC1" s="4" t="s">
        <v>34</v>
      </c>
      <c r="AD1" s="4" t="s">
        <v>35</v>
      </c>
      <c r="AE1" s="4" t="s">
        <v>36</v>
      </c>
      <c r="AF1" s="4" t="s">
        <v>37</v>
      </c>
      <c r="AG1" s="4" t="s">
        <v>38</v>
      </c>
      <c r="AH1" s="4" t="s">
        <v>39</v>
      </c>
      <c r="AI1" s="4" t="s">
        <v>40</v>
      </c>
      <c r="AJ1" s="4" t="s">
        <v>41</v>
      </c>
      <c r="AK1" s="4" t="s">
        <v>42</v>
      </c>
      <c r="AL1" s="4" t="s">
        <v>43</v>
      </c>
      <c r="AM1" s="4" t="s">
        <v>44</v>
      </c>
      <c r="AN1" s="4" t="s">
        <v>45</v>
      </c>
      <c r="AO1" s="4" t="s">
        <v>46</v>
      </c>
      <c r="AP1" s="4" t="s">
        <v>47</v>
      </c>
      <c r="AQ1" s="4" t="s">
        <v>48</v>
      </c>
      <c r="AR1" s="4" t="s">
        <v>49</v>
      </c>
      <c r="AS1" s="4" t="s">
        <v>50</v>
      </c>
      <c r="AT1" s="4" t="s">
        <v>51</v>
      </c>
      <c r="AU1" s="4" t="s">
        <v>52</v>
      </c>
      <c r="AV1" s="4" t="s">
        <v>53</v>
      </c>
      <c r="AW1" s="4" t="s">
        <v>54</v>
      </c>
      <c r="AX1" s="4" t="s">
        <v>55</v>
      </c>
      <c r="AY1" s="4" t="s">
        <v>56</v>
      </c>
      <c r="AZ1" s="4" t="s">
        <v>57</v>
      </c>
      <c r="BA1" s="4" t="s">
        <v>58</v>
      </c>
      <c r="BB1" s="4" t="s">
        <v>59</v>
      </c>
      <c r="BC1" t="s">
        <v>60</v>
      </c>
      <c r="BD1" t="s">
        <v>61</v>
      </c>
      <c r="BE1" t="s">
        <v>62</v>
      </c>
      <c r="BF1" t="s">
        <v>63</v>
      </c>
      <c r="BG1" t="s">
        <v>64</v>
      </c>
      <c r="BH1" t="s">
        <v>65</v>
      </c>
      <c r="BI1" t="s">
        <v>66</v>
      </c>
      <c r="BJ1" t="s">
        <v>15</v>
      </c>
      <c r="BK1" t="s">
        <v>502</v>
      </c>
      <c r="BL1" s="21" t="s">
        <v>67</v>
      </c>
      <c r="BM1" s="4" t="s">
        <v>68</v>
      </c>
      <c r="BN1" t="s">
        <v>69</v>
      </c>
      <c r="BO1" t="s">
        <v>495</v>
      </c>
      <c r="BP1" t="s">
        <v>582</v>
      </c>
      <c r="BQ1" s="4" t="s">
        <v>70</v>
      </c>
      <c r="BR1" s="13" t="s">
        <v>71</v>
      </c>
      <c r="BS1" s="4" t="s">
        <v>72</v>
      </c>
      <c r="BT1" t="s">
        <v>73</v>
      </c>
      <c r="BU1" t="s">
        <v>74</v>
      </c>
      <c r="BV1" t="s">
        <v>75</v>
      </c>
      <c r="BW1" s="4" t="s">
        <v>76</v>
      </c>
      <c r="BX1" t="s">
        <v>77</v>
      </c>
      <c r="BY1" t="s">
        <v>78</v>
      </c>
      <c r="BZ1" t="s">
        <v>79</v>
      </c>
      <c r="CA1" t="s">
        <v>80</v>
      </c>
      <c r="CB1" s="4" t="s">
        <v>81</v>
      </c>
      <c r="CC1" s="4" t="s">
        <v>82</v>
      </c>
      <c r="CD1" s="4" t="s">
        <v>83</v>
      </c>
      <c r="CE1" t="s">
        <v>84</v>
      </c>
      <c r="CF1" t="s">
        <v>85</v>
      </c>
      <c r="CG1" t="s">
        <v>86</v>
      </c>
      <c r="CH1" t="s">
        <v>87</v>
      </c>
      <c r="CI1" s="6" t="s">
        <v>382</v>
      </c>
      <c r="CJ1" s="6" t="s">
        <v>383</v>
      </c>
      <c r="CK1" s="8" t="s">
        <v>88</v>
      </c>
      <c r="CL1" t="s">
        <v>89</v>
      </c>
      <c r="CM1" s="6" t="s">
        <v>589</v>
      </c>
      <c r="CN1" t="s">
        <v>90</v>
      </c>
      <c r="CO1" t="s">
        <v>91</v>
      </c>
      <c r="CP1" t="s">
        <v>92</v>
      </c>
      <c r="CQ1" t="s">
        <v>93</v>
      </c>
      <c r="CR1" s="8" t="s">
        <v>94</v>
      </c>
      <c r="CS1" s="8" t="s">
        <v>95</v>
      </c>
      <c r="CT1" s="2"/>
    </row>
    <row r="2" spans="1:98">
      <c r="A2" s="1" t="s">
        <v>4</v>
      </c>
      <c r="B2" t="s">
        <v>16</v>
      </c>
      <c r="C2" t="s">
        <v>16</v>
      </c>
      <c r="D2" t="s">
        <v>16</v>
      </c>
      <c r="E2" t="s">
        <v>16</v>
      </c>
      <c r="F2" t="s">
        <v>16</v>
      </c>
      <c r="G2" t="s">
        <v>16</v>
      </c>
      <c r="H2" t="s">
        <v>16</v>
      </c>
      <c r="I2" t="s">
        <v>16</v>
      </c>
      <c r="J2" t="s">
        <v>16</v>
      </c>
      <c r="K2" t="s">
        <v>16</v>
      </c>
      <c r="L2" t="s">
        <v>16</v>
      </c>
      <c r="M2" t="s">
        <v>16</v>
      </c>
      <c r="N2" t="s">
        <v>22</v>
      </c>
      <c r="O2" t="s">
        <v>22</v>
      </c>
      <c r="P2" t="s">
        <v>22</v>
      </c>
      <c r="Q2" t="s">
        <v>22</v>
      </c>
      <c r="R2" t="s">
        <v>22</v>
      </c>
      <c r="S2" t="s">
        <v>27</v>
      </c>
      <c r="T2" t="s">
        <v>27</v>
      </c>
      <c r="U2" t="s">
        <v>27</v>
      </c>
      <c r="V2" t="s">
        <v>27</v>
      </c>
      <c r="W2" s="4" t="s">
        <v>96</v>
      </c>
      <c r="X2" s="4" t="s">
        <v>96</v>
      </c>
      <c r="Y2" s="4" t="s">
        <v>96</v>
      </c>
      <c r="Z2" s="4" t="s">
        <v>96</v>
      </c>
      <c r="AA2" s="4" t="s">
        <v>96</v>
      </c>
      <c r="AB2" s="4" t="s">
        <v>96</v>
      </c>
      <c r="AC2" s="4" t="s">
        <v>96</v>
      </c>
      <c r="AD2" s="4" t="s">
        <v>96</v>
      </c>
      <c r="AE2" s="4" t="s">
        <v>96</v>
      </c>
      <c r="AF2" s="4" t="s">
        <v>96</v>
      </c>
      <c r="AG2" s="4" t="s">
        <v>96</v>
      </c>
      <c r="AH2" s="4" t="s">
        <v>96</v>
      </c>
      <c r="AI2" s="4" t="s">
        <v>96</v>
      </c>
      <c r="AJ2" s="4" t="s">
        <v>96</v>
      </c>
      <c r="AK2" s="4" t="s">
        <v>96</v>
      </c>
      <c r="AL2" s="4" t="s">
        <v>96</v>
      </c>
      <c r="AM2" s="4" t="s">
        <v>96</v>
      </c>
      <c r="AN2" s="4" t="s">
        <v>96</v>
      </c>
      <c r="AO2" s="4" t="s">
        <v>96</v>
      </c>
      <c r="AP2" s="4" t="s">
        <v>96</v>
      </c>
      <c r="AQ2" s="4" t="s">
        <v>96</v>
      </c>
      <c r="AR2" s="4" t="s">
        <v>96</v>
      </c>
      <c r="AS2" s="4" t="s">
        <v>96</v>
      </c>
      <c r="AT2" s="4" t="s">
        <v>96</v>
      </c>
      <c r="AU2" s="4" t="s">
        <v>96</v>
      </c>
      <c r="AV2" s="4" t="s">
        <v>96</v>
      </c>
      <c r="AW2" s="4" t="s">
        <v>96</v>
      </c>
      <c r="AX2" s="4" t="s">
        <v>96</v>
      </c>
      <c r="AY2" s="4" t="s">
        <v>96</v>
      </c>
      <c r="AZ2" s="4" t="s">
        <v>96</v>
      </c>
      <c r="BA2" s="4" t="s">
        <v>96</v>
      </c>
      <c r="BB2" s="4" t="s">
        <v>96</v>
      </c>
      <c r="BC2" t="s">
        <v>96</v>
      </c>
      <c r="BD2" t="s">
        <v>96</v>
      </c>
      <c r="BE2" t="s">
        <v>96</v>
      </c>
      <c r="BF2" t="s">
        <v>96</v>
      </c>
      <c r="BG2" t="s">
        <v>96</v>
      </c>
      <c r="BH2" t="s">
        <v>96</v>
      </c>
      <c r="BI2" t="s">
        <v>96</v>
      </c>
      <c r="BJ2" t="s">
        <v>96</v>
      </c>
      <c r="BK2" t="s">
        <v>96</v>
      </c>
      <c r="BL2" s="21" t="s">
        <v>96</v>
      </c>
      <c r="BM2" s="4" t="s">
        <v>96</v>
      </c>
      <c r="BN2" t="s">
        <v>96</v>
      </c>
      <c r="BO2" t="s">
        <v>496</v>
      </c>
      <c r="BP2" t="s">
        <v>496</v>
      </c>
      <c r="BQ2" s="4" t="s">
        <v>96</v>
      </c>
      <c r="BR2" s="13" t="s">
        <v>96</v>
      </c>
      <c r="BS2" s="4" t="s">
        <v>96</v>
      </c>
      <c r="BT2" t="s">
        <v>96</v>
      </c>
      <c r="BU2" t="s">
        <v>96</v>
      </c>
      <c r="BV2" t="s">
        <v>96</v>
      </c>
      <c r="BW2" s="4" t="s">
        <v>96</v>
      </c>
      <c r="BX2" t="s">
        <v>96</v>
      </c>
      <c r="BY2" t="s">
        <v>96</v>
      </c>
      <c r="BZ2" t="s">
        <v>96</v>
      </c>
      <c r="CA2" t="s">
        <v>96</v>
      </c>
      <c r="CB2" s="4" t="s">
        <v>96</v>
      </c>
      <c r="CC2" s="4" t="s">
        <v>96</v>
      </c>
      <c r="CD2" s="4" t="s">
        <v>96</v>
      </c>
      <c r="CE2" t="s">
        <v>96</v>
      </c>
      <c r="CF2" t="s">
        <v>96</v>
      </c>
      <c r="CG2" t="s">
        <v>96</v>
      </c>
      <c r="CH2" t="s">
        <v>96</v>
      </c>
      <c r="CI2" s="6" t="s">
        <v>96</v>
      </c>
      <c r="CJ2" s="6" t="s">
        <v>96</v>
      </c>
      <c r="CK2" s="8" t="s">
        <v>96</v>
      </c>
      <c r="CL2" t="s">
        <v>96</v>
      </c>
      <c r="CM2" s="6" t="s">
        <v>96</v>
      </c>
      <c r="CN2" t="s">
        <v>96</v>
      </c>
      <c r="CO2" t="s">
        <v>96</v>
      </c>
      <c r="CP2" t="s">
        <v>96</v>
      </c>
      <c r="CQ2" t="s">
        <v>96</v>
      </c>
      <c r="CR2" s="8" t="s">
        <v>96</v>
      </c>
      <c r="CS2" s="8" t="s">
        <v>96</v>
      </c>
      <c r="CT2" s="2"/>
    </row>
    <row r="3" spans="1:98" s="2" customFormat="1" ht="101.5">
      <c r="A3" s="9" t="s">
        <v>1</v>
      </c>
      <c r="B3" s="2" t="s">
        <v>102</v>
      </c>
      <c r="C3" s="2" t="s">
        <v>104</v>
      </c>
      <c r="D3" s="2" t="s">
        <v>105</v>
      </c>
      <c r="E3" s="2" t="s">
        <v>110</v>
      </c>
      <c r="F3" s="2" t="s">
        <v>111</v>
      </c>
      <c r="G3" s="2" t="s">
        <v>112</v>
      </c>
      <c r="H3" s="2" t="s">
        <v>113</v>
      </c>
      <c r="I3" s="2" t="s">
        <v>114</v>
      </c>
      <c r="J3" s="2" t="s">
        <v>115</v>
      </c>
      <c r="K3" s="2" t="s">
        <v>116</v>
      </c>
      <c r="L3" s="2" t="s">
        <v>117</v>
      </c>
      <c r="M3" s="2" t="s">
        <v>449</v>
      </c>
      <c r="N3" s="2" t="s">
        <v>118</v>
      </c>
      <c r="O3" s="2" t="s">
        <v>119</v>
      </c>
      <c r="P3" s="2" t="s">
        <v>120</v>
      </c>
      <c r="Q3" s="2" t="s">
        <v>121</v>
      </c>
      <c r="R3" s="2" t="s">
        <v>125</v>
      </c>
      <c r="S3" s="2" t="s">
        <v>122</v>
      </c>
      <c r="T3" s="2" t="s">
        <v>123</v>
      </c>
      <c r="U3" s="2" t="s">
        <v>124</v>
      </c>
      <c r="V3" s="2" t="s">
        <v>126</v>
      </c>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2" t="s">
        <v>127</v>
      </c>
      <c r="BD3" s="2" t="s">
        <v>128</v>
      </c>
      <c r="BE3" s="2" t="s">
        <v>129</v>
      </c>
      <c r="BF3" s="2" t="s">
        <v>130</v>
      </c>
      <c r="BG3" s="2" t="s">
        <v>131</v>
      </c>
      <c r="BH3" s="2" t="s">
        <v>132</v>
      </c>
      <c r="BI3" s="2" t="s">
        <v>133</v>
      </c>
      <c r="BJ3" s="2" t="s">
        <v>117</v>
      </c>
      <c r="BK3" s="2" t="s">
        <v>503</v>
      </c>
      <c r="BL3" s="22" t="s">
        <v>451</v>
      </c>
      <c r="BM3" s="3" t="s">
        <v>452</v>
      </c>
      <c r="BN3" s="2" t="s">
        <v>450</v>
      </c>
      <c r="BO3" t="s">
        <v>497</v>
      </c>
      <c r="BP3" t="s">
        <v>583</v>
      </c>
      <c r="BQ3" s="3" t="s">
        <v>134</v>
      </c>
      <c r="BR3" s="17" t="s">
        <v>135</v>
      </c>
      <c r="BS3" s="3" t="s">
        <v>136</v>
      </c>
      <c r="BT3" s="2" t="s">
        <v>137</v>
      </c>
      <c r="BU3" s="2" t="s">
        <v>138</v>
      </c>
      <c r="BV3" s="2" t="s">
        <v>139</v>
      </c>
      <c r="BW3" s="3" t="s">
        <v>140</v>
      </c>
      <c r="BY3" s="2" t="s">
        <v>141</v>
      </c>
      <c r="BZ3" s="2" t="s">
        <v>142</v>
      </c>
      <c r="CA3" s="2" t="s">
        <v>143</v>
      </c>
      <c r="CB3" s="3" t="s">
        <v>144</v>
      </c>
      <c r="CC3" s="3" t="s">
        <v>145</v>
      </c>
      <c r="CD3" s="3" t="s">
        <v>146</v>
      </c>
      <c r="CE3" s="2" t="s">
        <v>147</v>
      </c>
      <c r="CF3" s="2" t="s">
        <v>148</v>
      </c>
      <c r="CG3" s="2" t="s">
        <v>149</v>
      </c>
      <c r="CH3" s="2" t="s">
        <v>150</v>
      </c>
      <c r="CI3" s="5" t="s">
        <v>597</v>
      </c>
      <c r="CJ3" s="5" t="s">
        <v>597</v>
      </c>
      <c r="CK3" s="7"/>
      <c r="CL3" s="2" t="s">
        <v>151</v>
      </c>
      <c r="CM3" s="5" t="s">
        <v>596</v>
      </c>
      <c r="CN3" s="2" t="s">
        <v>152</v>
      </c>
      <c r="CO3" s="2" t="s">
        <v>153</v>
      </c>
      <c r="CP3" s="2" t="s">
        <v>154</v>
      </c>
      <c r="CQ3" s="2" t="s">
        <v>155</v>
      </c>
      <c r="CR3" s="7"/>
      <c r="CS3" s="7"/>
    </row>
    <row r="4" spans="1:98">
      <c r="A4" s="10" t="s">
        <v>2</v>
      </c>
      <c r="B4" t="s">
        <v>97</v>
      </c>
      <c r="C4" t="s">
        <v>97</v>
      </c>
      <c r="D4" t="s">
        <v>97</v>
      </c>
      <c r="E4" t="s">
        <v>97</v>
      </c>
      <c r="F4" t="s">
        <v>97</v>
      </c>
      <c r="G4" t="s">
        <v>98</v>
      </c>
      <c r="H4" t="s">
        <v>98</v>
      </c>
      <c r="I4" t="s">
        <v>98</v>
      </c>
      <c r="J4" t="s">
        <v>98</v>
      </c>
      <c r="K4" t="s">
        <v>98</v>
      </c>
      <c r="L4" t="s">
        <v>98</v>
      </c>
      <c r="M4" t="s">
        <v>98</v>
      </c>
      <c r="N4" t="s">
        <v>97</v>
      </c>
      <c r="O4" t="s">
        <v>97</v>
      </c>
      <c r="P4" t="s">
        <v>97</v>
      </c>
      <c r="Q4" t="s">
        <v>99</v>
      </c>
      <c r="R4" t="s">
        <v>99</v>
      </c>
      <c r="S4" t="s">
        <v>97</v>
      </c>
      <c r="T4" t="s">
        <v>97</v>
      </c>
      <c r="U4" t="s">
        <v>99</v>
      </c>
      <c r="V4" t="s">
        <v>99</v>
      </c>
      <c r="W4" s="4" t="s">
        <v>100</v>
      </c>
      <c r="X4" s="4" t="s">
        <v>100</v>
      </c>
      <c r="Y4" s="4" t="s">
        <v>100</v>
      </c>
      <c r="Z4" s="4" t="s">
        <v>100</v>
      </c>
      <c r="AA4" s="4" t="s">
        <v>100</v>
      </c>
      <c r="AB4" s="4" t="s">
        <v>100</v>
      </c>
      <c r="AC4" s="4" t="s">
        <v>100</v>
      </c>
      <c r="AD4" s="4" t="s">
        <v>100</v>
      </c>
      <c r="AE4" s="4" t="s">
        <v>100</v>
      </c>
      <c r="AF4" s="4" t="s">
        <v>100</v>
      </c>
      <c r="AG4" s="4" t="s">
        <v>100</v>
      </c>
      <c r="AH4" s="4" t="s">
        <v>100</v>
      </c>
      <c r="AI4" s="4" t="s">
        <v>100</v>
      </c>
      <c r="AJ4" s="4" t="s">
        <v>100</v>
      </c>
      <c r="AK4" s="4" t="s">
        <v>100</v>
      </c>
      <c r="AL4" s="4" t="s">
        <v>100</v>
      </c>
      <c r="AM4" s="4" t="s">
        <v>100</v>
      </c>
      <c r="AN4" s="4" t="s">
        <v>100</v>
      </c>
      <c r="AO4" s="4" t="s">
        <v>100</v>
      </c>
      <c r="AP4" s="4" t="s">
        <v>100</v>
      </c>
      <c r="AQ4" s="4" t="s">
        <v>100</v>
      </c>
      <c r="AR4" s="4" t="s">
        <v>100</v>
      </c>
      <c r="AS4" s="4" t="s">
        <v>100</v>
      </c>
      <c r="AT4" s="4" t="s">
        <v>100</v>
      </c>
      <c r="AU4" s="4" t="s">
        <v>100</v>
      </c>
      <c r="AV4" s="4" t="s">
        <v>100</v>
      </c>
      <c r="AW4" s="4" t="s">
        <v>100</v>
      </c>
      <c r="AX4" s="4" t="s">
        <v>100</v>
      </c>
      <c r="AY4" s="4" t="s">
        <v>100</v>
      </c>
      <c r="AZ4" s="4" t="s">
        <v>100</v>
      </c>
      <c r="BA4" s="4" t="s">
        <v>100</v>
      </c>
      <c r="BB4" s="4" t="s">
        <v>100</v>
      </c>
      <c r="BC4" s="11" t="s">
        <v>100</v>
      </c>
      <c r="BD4" t="s">
        <v>100</v>
      </c>
      <c r="BE4" t="s">
        <v>100</v>
      </c>
      <c r="BF4" t="s">
        <v>100</v>
      </c>
      <c r="BG4" t="s">
        <v>100</v>
      </c>
      <c r="BH4" t="s">
        <v>99</v>
      </c>
      <c r="BI4" s="11" t="s">
        <v>99</v>
      </c>
      <c r="BJ4" t="s">
        <v>98</v>
      </c>
      <c r="BK4" t="s">
        <v>99</v>
      </c>
      <c r="BL4" s="21" t="s">
        <v>98</v>
      </c>
      <c r="BM4" s="4" t="s">
        <v>98</v>
      </c>
      <c r="BN4" t="s">
        <v>98</v>
      </c>
      <c r="BO4" t="s">
        <v>98</v>
      </c>
      <c r="BP4" t="s">
        <v>98</v>
      </c>
      <c r="BQ4" s="4" t="s">
        <v>99</v>
      </c>
      <c r="BR4" s="13" t="s">
        <v>99</v>
      </c>
      <c r="BS4" s="4" t="s">
        <v>99</v>
      </c>
      <c r="BT4" s="11" t="s">
        <v>99</v>
      </c>
      <c r="BU4" s="11" t="s">
        <v>99</v>
      </c>
      <c r="BV4" t="s">
        <v>100</v>
      </c>
      <c r="BW4" s="4" t="s">
        <v>260</v>
      </c>
      <c r="BX4" t="s">
        <v>387</v>
      </c>
      <c r="BY4" t="s">
        <v>99</v>
      </c>
      <c r="BZ4" t="s">
        <v>99</v>
      </c>
      <c r="CA4" t="s">
        <v>99</v>
      </c>
      <c r="CB4" s="4" t="s">
        <v>99</v>
      </c>
      <c r="CC4" s="4" t="s">
        <v>99</v>
      </c>
      <c r="CD4" s="4" t="s">
        <v>99</v>
      </c>
      <c r="CE4" s="11" t="s">
        <v>99</v>
      </c>
      <c r="CF4" t="s">
        <v>99</v>
      </c>
      <c r="CG4" t="s">
        <v>99</v>
      </c>
      <c r="CH4" t="s">
        <v>99</v>
      </c>
      <c r="CI4" s="6" t="s">
        <v>99</v>
      </c>
      <c r="CJ4" s="6" t="s">
        <v>99</v>
      </c>
      <c r="CK4" s="8" t="s">
        <v>101</v>
      </c>
      <c r="CL4" s="11" t="s">
        <v>99</v>
      </c>
      <c r="CM4" s="6" t="s">
        <v>99</v>
      </c>
      <c r="CN4" t="s">
        <v>99</v>
      </c>
      <c r="CO4" t="s">
        <v>98</v>
      </c>
      <c r="CP4" t="s">
        <v>99</v>
      </c>
      <c r="CQ4" t="s">
        <v>99</v>
      </c>
      <c r="CR4" s="8" t="s">
        <v>100</v>
      </c>
      <c r="CS4" s="8" t="s">
        <v>99</v>
      </c>
    </row>
    <row r="5" spans="1:98">
      <c r="A5" s="1" t="s">
        <v>3</v>
      </c>
      <c r="B5" t="s">
        <v>103</v>
      </c>
      <c r="C5" t="s">
        <v>103</v>
      </c>
      <c r="D5" t="s">
        <v>103</v>
      </c>
      <c r="E5" t="s">
        <v>103</v>
      </c>
      <c r="F5" t="s">
        <v>103</v>
      </c>
      <c r="CR5" s="8"/>
      <c r="CS5" s="8"/>
    </row>
    <row r="6" spans="1:98">
      <c r="A6" s="1"/>
      <c r="CR6" s="8"/>
      <c r="CS6" s="8"/>
    </row>
    <row r="7" spans="1:98">
      <c r="A7" s="1" t="s">
        <v>106</v>
      </c>
      <c r="B7" t="s">
        <v>107</v>
      </c>
      <c r="C7" t="s">
        <v>107</v>
      </c>
      <c r="D7" t="s">
        <v>107</v>
      </c>
      <c r="E7" t="s">
        <v>107</v>
      </c>
      <c r="F7" t="s">
        <v>107</v>
      </c>
      <c r="G7" t="s">
        <v>108</v>
      </c>
      <c r="H7" t="s">
        <v>108</v>
      </c>
      <c r="I7" t="s">
        <v>108</v>
      </c>
      <c r="J7" t="s">
        <v>108</v>
      </c>
      <c r="K7" t="s">
        <v>108</v>
      </c>
      <c r="L7" t="s">
        <v>108</v>
      </c>
      <c r="N7" t="s">
        <v>107</v>
      </c>
      <c r="O7" t="s">
        <v>107</v>
      </c>
      <c r="P7" t="s">
        <v>107</v>
      </c>
      <c r="S7" t="s">
        <v>107</v>
      </c>
      <c r="T7" t="s">
        <v>107</v>
      </c>
      <c r="BC7" t="s">
        <v>109</v>
      </c>
      <c r="BD7" t="s">
        <v>109</v>
      </c>
      <c r="BE7" t="s">
        <v>109</v>
      </c>
      <c r="BF7" t="s">
        <v>109</v>
      </c>
      <c r="BG7" t="s">
        <v>109</v>
      </c>
      <c r="BJ7" t="s">
        <v>108</v>
      </c>
      <c r="BL7" s="21" t="s">
        <v>109</v>
      </c>
      <c r="BM7" s="4" t="s">
        <v>109</v>
      </c>
      <c r="BN7" t="s">
        <v>109</v>
      </c>
      <c r="BO7" t="s">
        <v>109</v>
      </c>
      <c r="BP7" t="s">
        <v>109</v>
      </c>
      <c r="BV7" t="s">
        <v>108</v>
      </c>
      <c r="BW7" s="4" t="s">
        <v>414</v>
      </c>
      <c r="CR7" s="8"/>
      <c r="CS7" s="8"/>
    </row>
    <row r="8" spans="1:98">
      <c r="A8" s="1"/>
      <c r="CR8" s="8"/>
      <c r="CS8" s="8"/>
    </row>
    <row r="9" spans="1:98">
      <c r="A9" s="1"/>
      <c r="CR9" s="8"/>
      <c r="CS9" s="8"/>
    </row>
  </sheetData>
  <phoneticPr fontId="2"/>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06F25-8B9E-4B45-BE5A-CFE07640E852}">
  <dimension ref="A1:Q199"/>
  <sheetViews>
    <sheetView topLeftCell="A49" zoomScale="66" zoomScaleNormal="85" workbookViewId="0">
      <selection activeCell="D184" sqref="D184"/>
    </sheetView>
  </sheetViews>
  <sheetFormatPr defaultRowHeight="14.5"/>
  <cols>
    <col min="1" max="1" width="35.81640625" bestFit="1" customWidth="1"/>
    <col min="2" max="2" width="59.08984375" customWidth="1"/>
    <col min="3" max="3" width="12.90625" bestFit="1" customWidth="1"/>
    <col min="4" max="4" width="12.6328125" bestFit="1" customWidth="1"/>
    <col min="5" max="5" width="215.81640625" bestFit="1" customWidth="1"/>
    <col min="6" max="6" width="255.6328125" bestFit="1" customWidth="1"/>
    <col min="7" max="7" width="26.26953125" bestFit="1" customWidth="1"/>
    <col min="8" max="8" width="25.1796875" bestFit="1" customWidth="1"/>
    <col min="9" max="9" width="31.08984375" bestFit="1" customWidth="1"/>
    <col min="10" max="10" width="25.1796875" bestFit="1" customWidth="1"/>
    <col min="11" max="11" width="25.7265625" bestFit="1" customWidth="1"/>
    <col min="12" max="12" width="25.1796875" bestFit="1" customWidth="1"/>
    <col min="13" max="13" width="29.54296875" bestFit="1" customWidth="1"/>
    <col min="14" max="14" width="25.1796875" bestFit="1" customWidth="1"/>
    <col min="15" max="15" width="8.7265625" customWidth="1"/>
    <col min="16" max="16" width="54" customWidth="1"/>
  </cols>
  <sheetData>
    <row r="1" spans="1:16">
      <c r="A1" s="1" t="s">
        <v>257</v>
      </c>
      <c r="B1" s="1" t="s">
        <v>156</v>
      </c>
      <c r="C1" s="1" t="s">
        <v>259</v>
      </c>
      <c r="D1" s="1" t="s">
        <v>263</v>
      </c>
      <c r="E1" s="1" t="s">
        <v>157</v>
      </c>
      <c r="F1" s="1" t="s">
        <v>264</v>
      </c>
      <c r="G1" s="1" t="s">
        <v>265</v>
      </c>
      <c r="I1" s="1" t="s">
        <v>266</v>
      </c>
      <c r="K1" s="1" t="s">
        <v>267</v>
      </c>
      <c r="M1" s="1" t="s">
        <v>299</v>
      </c>
      <c r="O1" s="1" t="s">
        <v>324</v>
      </c>
    </row>
    <row r="2" spans="1:16">
      <c r="A2" s="1"/>
      <c r="B2" s="1"/>
      <c r="C2" s="1"/>
      <c r="D2" s="1"/>
      <c r="E2" s="1"/>
      <c r="F2" s="1"/>
      <c r="G2" s="1" t="s">
        <v>268</v>
      </c>
      <c r="H2" s="1" t="s">
        <v>269</v>
      </c>
      <c r="I2" s="1" t="s">
        <v>268</v>
      </c>
      <c r="J2" s="1" t="s">
        <v>269</v>
      </c>
      <c r="K2" s="1" t="s">
        <v>268</v>
      </c>
      <c r="L2" s="1" t="s">
        <v>269</v>
      </c>
      <c r="M2" s="1" t="s">
        <v>268</v>
      </c>
      <c r="N2" s="1" t="s">
        <v>269</v>
      </c>
      <c r="O2" s="1" t="s">
        <v>268</v>
      </c>
      <c r="P2" s="1" t="s">
        <v>269</v>
      </c>
    </row>
    <row r="3" spans="1:16">
      <c r="A3" t="s">
        <v>16</v>
      </c>
      <c r="B3" t="s">
        <v>5</v>
      </c>
      <c r="C3" t="s">
        <v>97</v>
      </c>
      <c r="D3" t="s">
        <v>107</v>
      </c>
      <c r="E3" t="s">
        <v>102</v>
      </c>
      <c r="F3" t="s">
        <v>285</v>
      </c>
      <c r="G3" t="s">
        <v>270</v>
      </c>
      <c r="H3" t="s">
        <v>275</v>
      </c>
      <c r="I3" t="s">
        <v>277</v>
      </c>
      <c r="J3" t="s">
        <v>275</v>
      </c>
    </row>
    <row r="4" spans="1:16">
      <c r="A4" t="s">
        <v>16</v>
      </c>
      <c r="B4" t="s">
        <v>6</v>
      </c>
      <c r="C4" t="s">
        <v>97</v>
      </c>
      <c r="D4" t="s">
        <v>107</v>
      </c>
      <c r="E4" t="s">
        <v>104</v>
      </c>
      <c r="F4" t="s">
        <v>286</v>
      </c>
      <c r="G4" t="s">
        <v>271</v>
      </c>
      <c r="H4" t="s">
        <v>275</v>
      </c>
      <c r="I4" t="s">
        <v>278</v>
      </c>
      <c r="J4" t="s">
        <v>275</v>
      </c>
    </row>
    <row r="5" spans="1:16">
      <c r="A5" t="s">
        <v>16</v>
      </c>
      <c r="B5" t="s">
        <v>7</v>
      </c>
      <c r="C5" t="s">
        <v>97</v>
      </c>
      <c r="D5" t="s">
        <v>107</v>
      </c>
      <c r="E5" t="s">
        <v>105</v>
      </c>
      <c r="F5" t="s">
        <v>287</v>
      </c>
      <c r="G5" t="s">
        <v>272</v>
      </c>
      <c r="H5" t="s">
        <v>275</v>
      </c>
      <c r="I5" t="s">
        <v>279</v>
      </c>
      <c r="J5" t="s">
        <v>275</v>
      </c>
    </row>
    <row r="6" spans="1:16">
      <c r="A6" t="s">
        <v>16</v>
      </c>
      <c r="B6" t="s">
        <v>8</v>
      </c>
      <c r="C6" t="s">
        <v>97</v>
      </c>
      <c r="D6" t="s">
        <v>107</v>
      </c>
      <c r="E6" t="s">
        <v>110</v>
      </c>
      <c r="F6" t="s">
        <v>289</v>
      </c>
      <c r="G6" t="s">
        <v>273</v>
      </c>
      <c r="H6" t="s">
        <v>275</v>
      </c>
      <c r="I6" t="s">
        <v>280</v>
      </c>
      <c r="J6" t="s">
        <v>275</v>
      </c>
    </row>
    <row r="7" spans="1:16">
      <c r="A7" t="s">
        <v>16</v>
      </c>
      <c r="B7" t="s">
        <v>9</v>
      </c>
      <c r="C7" t="s">
        <v>97</v>
      </c>
      <c r="D7" t="s">
        <v>107</v>
      </c>
      <c r="E7" t="s">
        <v>111</v>
      </c>
      <c r="F7" t="s">
        <v>288</v>
      </c>
      <c r="G7" t="s">
        <v>274</v>
      </c>
      <c r="H7" t="s">
        <v>275</v>
      </c>
      <c r="I7" t="s">
        <v>281</v>
      </c>
      <c r="J7" t="s">
        <v>275</v>
      </c>
    </row>
    <row r="8" spans="1:16">
      <c r="A8" t="s">
        <v>16</v>
      </c>
      <c r="B8" t="s">
        <v>10</v>
      </c>
      <c r="C8" t="s">
        <v>260</v>
      </c>
      <c r="D8" t="s">
        <v>108</v>
      </c>
      <c r="E8" t="s">
        <v>112</v>
      </c>
      <c r="F8" t="s">
        <v>332</v>
      </c>
      <c r="G8" t="s">
        <v>5</v>
      </c>
      <c r="H8" t="s">
        <v>275</v>
      </c>
      <c r="I8" t="s">
        <v>282</v>
      </c>
      <c r="J8" t="s">
        <v>275</v>
      </c>
    </row>
    <row r="9" spans="1:16">
      <c r="A9" t="s">
        <v>16</v>
      </c>
      <c r="B9" t="s">
        <v>11</v>
      </c>
      <c r="C9" t="s">
        <v>260</v>
      </c>
      <c r="D9" t="s">
        <v>108</v>
      </c>
      <c r="E9" t="s">
        <v>113</v>
      </c>
      <c r="F9" t="s">
        <v>333</v>
      </c>
      <c r="G9" t="s">
        <v>6</v>
      </c>
      <c r="H9" t="s">
        <v>275</v>
      </c>
      <c r="I9" t="s">
        <v>282</v>
      </c>
      <c r="J9" t="s">
        <v>275</v>
      </c>
    </row>
    <row r="10" spans="1:16">
      <c r="A10" t="s">
        <v>16</v>
      </c>
      <c r="B10" t="s">
        <v>12</v>
      </c>
      <c r="C10" t="s">
        <v>260</v>
      </c>
      <c r="D10" t="s">
        <v>108</v>
      </c>
      <c r="E10" t="s">
        <v>114</v>
      </c>
      <c r="F10" t="s">
        <v>334</v>
      </c>
      <c r="G10" t="s">
        <v>7</v>
      </c>
      <c r="H10" t="s">
        <v>275</v>
      </c>
      <c r="I10" t="s">
        <v>282</v>
      </c>
      <c r="J10" t="s">
        <v>275</v>
      </c>
    </row>
    <row r="11" spans="1:16">
      <c r="A11" t="s">
        <v>16</v>
      </c>
      <c r="B11" t="s">
        <v>13</v>
      </c>
      <c r="C11" t="s">
        <v>260</v>
      </c>
      <c r="D11" t="s">
        <v>108</v>
      </c>
      <c r="E11" t="s">
        <v>115</v>
      </c>
      <c r="F11" t="s">
        <v>335</v>
      </c>
      <c r="G11" t="s">
        <v>8</v>
      </c>
      <c r="H11" t="s">
        <v>275</v>
      </c>
      <c r="I11" t="s">
        <v>282</v>
      </c>
      <c r="J11" t="s">
        <v>275</v>
      </c>
    </row>
    <row r="12" spans="1:16">
      <c r="A12" t="s">
        <v>16</v>
      </c>
      <c r="B12" t="s">
        <v>14</v>
      </c>
      <c r="C12" t="s">
        <v>260</v>
      </c>
      <c r="D12" t="s">
        <v>108</v>
      </c>
      <c r="E12" t="s">
        <v>116</v>
      </c>
      <c r="F12" t="s">
        <v>336</v>
      </c>
      <c r="G12" t="s">
        <v>9</v>
      </c>
      <c r="H12" t="s">
        <v>275</v>
      </c>
      <c r="I12" t="s">
        <v>282</v>
      </c>
      <c r="J12" t="s">
        <v>275</v>
      </c>
    </row>
    <row r="13" spans="1:16">
      <c r="A13" t="s">
        <v>16</v>
      </c>
      <c r="B13" t="s">
        <v>15</v>
      </c>
      <c r="C13" t="s">
        <v>260</v>
      </c>
      <c r="D13" t="s">
        <v>258</v>
      </c>
      <c r="E13" t="s">
        <v>117</v>
      </c>
      <c r="F13" t="s">
        <v>284</v>
      </c>
      <c r="G13" t="s">
        <v>283</v>
      </c>
      <c r="H13" t="s">
        <v>275</v>
      </c>
    </row>
    <row r="14" spans="1:16">
      <c r="A14" t="s">
        <v>16</v>
      </c>
      <c r="B14" t="s">
        <v>385</v>
      </c>
      <c r="C14" t="s">
        <v>260</v>
      </c>
      <c r="D14" t="s">
        <v>109</v>
      </c>
      <c r="E14" t="s">
        <v>386</v>
      </c>
      <c r="F14" t="s">
        <v>446</v>
      </c>
      <c r="G14" t="s">
        <v>283</v>
      </c>
      <c r="H14" t="s">
        <v>275</v>
      </c>
      <c r="I14" t="s">
        <v>447</v>
      </c>
      <c r="J14" t="s">
        <v>307</v>
      </c>
    </row>
    <row r="15" spans="1:16">
      <c r="A15" t="s">
        <v>22</v>
      </c>
      <c r="B15" t="s">
        <v>17</v>
      </c>
      <c r="C15" t="s">
        <v>97</v>
      </c>
      <c r="D15" t="s">
        <v>107</v>
      </c>
      <c r="E15" t="s">
        <v>118</v>
      </c>
      <c r="F15" t="s">
        <v>337</v>
      </c>
      <c r="G15" t="s">
        <v>290</v>
      </c>
      <c r="H15" t="s">
        <v>276</v>
      </c>
      <c r="I15" t="s">
        <v>291</v>
      </c>
      <c r="J15" t="s">
        <v>276</v>
      </c>
    </row>
    <row r="16" spans="1:16">
      <c r="A16" t="s">
        <v>22</v>
      </c>
      <c r="B16" t="s">
        <v>18</v>
      </c>
      <c r="C16" t="s">
        <v>97</v>
      </c>
      <c r="D16" t="s">
        <v>107</v>
      </c>
      <c r="E16" t="s">
        <v>119</v>
      </c>
      <c r="F16" t="s">
        <v>338</v>
      </c>
      <c r="G16" t="s">
        <v>292</v>
      </c>
      <c r="H16" t="s">
        <v>276</v>
      </c>
      <c r="I16" t="s">
        <v>293</v>
      </c>
      <c r="J16" t="s">
        <v>276</v>
      </c>
    </row>
    <row r="17" spans="1:14">
      <c r="A17" t="s">
        <v>22</v>
      </c>
      <c r="B17" t="s">
        <v>19</v>
      </c>
      <c r="C17" t="s">
        <v>97</v>
      </c>
      <c r="D17" t="s">
        <v>107</v>
      </c>
      <c r="E17" t="s">
        <v>120</v>
      </c>
      <c r="F17" t="s">
        <v>339</v>
      </c>
      <c r="G17" t="s">
        <v>294</v>
      </c>
      <c r="H17" t="s">
        <v>276</v>
      </c>
      <c r="I17" t="s">
        <v>292</v>
      </c>
      <c r="J17" t="s">
        <v>276</v>
      </c>
    </row>
    <row r="18" spans="1:14">
      <c r="A18" t="s">
        <v>22</v>
      </c>
      <c r="B18" t="s">
        <v>20</v>
      </c>
      <c r="C18" t="s">
        <v>261</v>
      </c>
      <c r="D18">
        <v>0</v>
      </c>
      <c r="E18" t="s">
        <v>159</v>
      </c>
      <c r="F18" t="s">
        <v>340</v>
      </c>
      <c r="G18" t="s">
        <v>296</v>
      </c>
      <c r="H18" t="s">
        <v>276</v>
      </c>
      <c r="I18" t="s">
        <v>297</v>
      </c>
      <c r="J18" t="s">
        <v>276</v>
      </c>
      <c r="K18" t="s">
        <v>298</v>
      </c>
      <c r="L18" t="s">
        <v>276</v>
      </c>
    </row>
    <row r="19" spans="1:14">
      <c r="A19" t="s">
        <v>22</v>
      </c>
      <c r="D19">
        <v>1</v>
      </c>
      <c r="E19" t="s">
        <v>158</v>
      </c>
    </row>
    <row r="20" spans="1:14">
      <c r="A20" t="s">
        <v>22</v>
      </c>
      <c r="D20">
        <v>2</v>
      </c>
      <c r="E20" t="s">
        <v>160</v>
      </c>
    </row>
    <row r="21" spans="1:14">
      <c r="A21" t="s">
        <v>22</v>
      </c>
      <c r="D21">
        <v>3</v>
      </c>
      <c r="E21" t="s">
        <v>161</v>
      </c>
    </row>
    <row r="22" spans="1:14">
      <c r="A22" t="s">
        <v>22</v>
      </c>
      <c r="D22" t="s">
        <v>169</v>
      </c>
      <c r="E22" t="s">
        <v>177</v>
      </c>
    </row>
    <row r="23" spans="1:14">
      <c r="A23" t="s">
        <v>22</v>
      </c>
      <c r="B23" t="s">
        <v>21</v>
      </c>
      <c r="C23" t="s">
        <v>261</v>
      </c>
      <c r="D23">
        <v>0</v>
      </c>
      <c r="E23" t="s">
        <v>341</v>
      </c>
      <c r="F23" t="s">
        <v>342</v>
      </c>
      <c r="G23" t="s">
        <v>15</v>
      </c>
      <c r="H23" t="s">
        <v>16</v>
      </c>
      <c r="I23" t="s">
        <v>296</v>
      </c>
      <c r="J23" t="s">
        <v>276</v>
      </c>
      <c r="K23" t="s">
        <v>297</v>
      </c>
      <c r="L23" t="s">
        <v>276</v>
      </c>
      <c r="M23" t="s">
        <v>298</v>
      </c>
      <c r="N23" t="s">
        <v>276</v>
      </c>
    </row>
    <row r="24" spans="1:14">
      <c r="A24" t="s">
        <v>22</v>
      </c>
      <c r="D24">
        <v>1</v>
      </c>
      <c r="E24" t="s">
        <v>162</v>
      </c>
    </row>
    <row r="25" spans="1:14">
      <c r="A25" t="s">
        <v>22</v>
      </c>
      <c r="D25">
        <v>2</v>
      </c>
      <c r="E25" t="s">
        <v>163</v>
      </c>
    </row>
    <row r="26" spans="1:14">
      <c r="A26" t="s">
        <v>22</v>
      </c>
      <c r="D26" t="s">
        <v>169</v>
      </c>
      <c r="E26" t="s">
        <v>177</v>
      </c>
    </row>
    <row r="27" spans="1:14">
      <c r="A27" t="s">
        <v>27</v>
      </c>
      <c r="B27" t="s">
        <v>23</v>
      </c>
      <c r="C27" t="s">
        <v>97</v>
      </c>
      <c r="D27" t="s">
        <v>107</v>
      </c>
      <c r="E27" t="s">
        <v>122</v>
      </c>
      <c r="F27" t="s">
        <v>343</v>
      </c>
      <c r="G27" t="s">
        <v>300</v>
      </c>
      <c r="H27" t="s">
        <v>295</v>
      </c>
      <c r="I27" t="s">
        <v>300</v>
      </c>
      <c r="J27" t="s">
        <v>295</v>
      </c>
    </row>
    <row r="28" spans="1:14">
      <c r="A28" t="s">
        <v>27</v>
      </c>
      <c r="B28" t="s">
        <v>24</v>
      </c>
      <c r="C28" t="s">
        <v>97</v>
      </c>
      <c r="D28" t="s">
        <v>107</v>
      </c>
      <c r="E28" t="s">
        <v>123</v>
      </c>
      <c r="F28" t="s">
        <v>344</v>
      </c>
      <c r="G28" t="s">
        <v>301</v>
      </c>
      <c r="H28" t="s">
        <v>295</v>
      </c>
      <c r="I28" t="s">
        <v>302</v>
      </c>
      <c r="J28" t="s">
        <v>295</v>
      </c>
    </row>
    <row r="29" spans="1:14">
      <c r="A29" t="s">
        <v>27</v>
      </c>
      <c r="B29" t="s">
        <v>25</v>
      </c>
      <c r="C29" t="s">
        <v>261</v>
      </c>
      <c r="D29">
        <v>0</v>
      </c>
      <c r="E29" t="s">
        <v>159</v>
      </c>
      <c r="F29" t="s">
        <v>345</v>
      </c>
      <c r="G29" t="s">
        <v>303</v>
      </c>
      <c r="H29" t="s">
        <v>295</v>
      </c>
      <c r="I29" t="s">
        <v>304</v>
      </c>
      <c r="J29" t="s">
        <v>295</v>
      </c>
      <c r="K29" t="s">
        <v>305</v>
      </c>
      <c r="L29" t="s">
        <v>295</v>
      </c>
    </row>
    <row r="30" spans="1:14">
      <c r="A30" t="s">
        <v>27</v>
      </c>
      <c r="D30">
        <v>1</v>
      </c>
      <c r="E30" t="s">
        <v>158</v>
      </c>
    </row>
    <row r="31" spans="1:14">
      <c r="A31" t="s">
        <v>27</v>
      </c>
      <c r="D31">
        <v>2</v>
      </c>
      <c r="E31" t="s">
        <v>160</v>
      </c>
    </row>
    <row r="32" spans="1:14">
      <c r="A32" t="s">
        <v>27</v>
      </c>
      <c r="D32" t="s">
        <v>169</v>
      </c>
      <c r="E32" t="s">
        <v>178</v>
      </c>
    </row>
    <row r="33" spans="1:14">
      <c r="A33" t="s">
        <v>27</v>
      </c>
      <c r="B33" t="s">
        <v>26</v>
      </c>
      <c r="C33" t="s">
        <v>261</v>
      </c>
      <c r="D33">
        <v>0</v>
      </c>
      <c r="E33" t="s">
        <v>166</v>
      </c>
      <c r="F33" t="s">
        <v>346</v>
      </c>
      <c r="G33" t="s">
        <v>15</v>
      </c>
      <c r="H33" t="s">
        <v>16</v>
      </c>
      <c r="I33" t="s">
        <v>303</v>
      </c>
      <c r="J33" t="s">
        <v>295</v>
      </c>
      <c r="K33" t="s">
        <v>304</v>
      </c>
      <c r="L33" t="s">
        <v>295</v>
      </c>
      <c r="M33" t="s">
        <v>305</v>
      </c>
      <c r="N33" t="s">
        <v>295</v>
      </c>
    </row>
    <row r="34" spans="1:14">
      <c r="A34" t="s">
        <v>27</v>
      </c>
      <c r="D34">
        <v>1</v>
      </c>
      <c r="E34" t="s">
        <v>165</v>
      </c>
    </row>
    <row r="35" spans="1:14">
      <c r="A35" t="s">
        <v>27</v>
      </c>
      <c r="D35">
        <v>2</v>
      </c>
      <c r="E35" t="s">
        <v>164</v>
      </c>
    </row>
    <row r="36" spans="1:14">
      <c r="A36" t="s">
        <v>27</v>
      </c>
      <c r="D36" t="s">
        <v>169</v>
      </c>
      <c r="E36" t="s">
        <v>178</v>
      </c>
    </row>
    <row r="37" spans="1:14">
      <c r="A37" t="s">
        <v>96</v>
      </c>
      <c r="B37" t="s">
        <v>60</v>
      </c>
      <c r="C37" t="s">
        <v>262</v>
      </c>
      <c r="D37" t="s">
        <v>109</v>
      </c>
      <c r="E37" t="s">
        <v>127</v>
      </c>
      <c r="F37" t="s">
        <v>347</v>
      </c>
      <c r="G37" t="s">
        <v>306</v>
      </c>
      <c r="H37" t="s">
        <v>307</v>
      </c>
    </row>
    <row r="38" spans="1:14">
      <c r="A38" t="s">
        <v>96</v>
      </c>
      <c r="B38" t="s">
        <v>61</v>
      </c>
      <c r="C38" t="s">
        <v>262</v>
      </c>
      <c r="D38" t="s">
        <v>109</v>
      </c>
      <c r="E38" t="s">
        <v>128</v>
      </c>
      <c r="F38" t="s">
        <v>348</v>
      </c>
      <c r="G38" t="s">
        <v>308</v>
      </c>
      <c r="H38" t="s">
        <v>307</v>
      </c>
    </row>
    <row r="39" spans="1:14">
      <c r="A39" t="s">
        <v>96</v>
      </c>
      <c r="B39" t="s">
        <v>62</v>
      </c>
      <c r="C39" t="s">
        <v>262</v>
      </c>
      <c r="D39" t="s">
        <v>109</v>
      </c>
      <c r="E39" t="s">
        <v>129</v>
      </c>
      <c r="F39" t="s">
        <v>349</v>
      </c>
      <c r="G39" t="s">
        <v>309</v>
      </c>
      <c r="H39" t="s">
        <v>307</v>
      </c>
      <c r="I39" t="s">
        <v>310</v>
      </c>
      <c r="J39" t="s">
        <v>307</v>
      </c>
      <c r="K39" t="s">
        <v>311</v>
      </c>
      <c r="L39" t="s">
        <v>307</v>
      </c>
    </row>
    <row r="40" spans="1:14">
      <c r="A40" t="s">
        <v>96</v>
      </c>
      <c r="B40" t="s">
        <v>63</v>
      </c>
      <c r="C40" t="s">
        <v>262</v>
      </c>
      <c r="D40" t="s">
        <v>109</v>
      </c>
      <c r="E40" t="s">
        <v>130</v>
      </c>
      <c r="F40" t="s">
        <v>350</v>
      </c>
      <c r="G40" t="s">
        <v>312</v>
      </c>
      <c r="H40" t="s">
        <v>307</v>
      </c>
    </row>
    <row r="41" spans="1:14">
      <c r="A41" t="s">
        <v>96</v>
      </c>
      <c r="B41" t="s">
        <v>64</v>
      </c>
      <c r="C41" t="s">
        <v>262</v>
      </c>
      <c r="D41" t="s">
        <v>109</v>
      </c>
      <c r="E41" t="s">
        <v>131</v>
      </c>
      <c r="F41" t="s">
        <v>351</v>
      </c>
      <c r="G41" t="s">
        <v>313</v>
      </c>
      <c r="H41" t="s">
        <v>307</v>
      </c>
      <c r="I41" t="s">
        <v>314</v>
      </c>
      <c r="J41" t="s">
        <v>307</v>
      </c>
    </row>
    <row r="42" spans="1:14">
      <c r="A42" t="s">
        <v>96</v>
      </c>
      <c r="B42" t="s">
        <v>65</v>
      </c>
      <c r="C42" t="s">
        <v>261</v>
      </c>
      <c r="D42">
        <v>0</v>
      </c>
      <c r="E42" t="s">
        <v>167</v>
      </c>
      <c r="F42" t="s">
        <v>316</v>
      </c>
      <c r="G42" t="s">
        <v>315</v>
      </c>
      <c r="H42" t="s">
        <v>307</v>
      </c>
      <c r="I42" t="s">
        <v>283</v>
      </c>
      <c r="J42" t="s">
        <v>16</v>
      </c>
      <c r="K42" t="s">
        <v>15</v>
      </c>
      <c r="L42" t="s">
        <v>16</v>
      </c>
    </row>
    <row r="43" spans="1:14">
      <c r="A43" t="s">
        <v>96</v>
      </c>
      <c r="D43">
        <v>1</v>
      </c>
      <c r="E43" t="s">
        <v>168</v>
      </c>
    </row>
    <row r="44" spans="1:14">
      <c r="A44" t="s">
        <v>96</v>
      </c>
      <c r="D44" t="s">
        <v>169</v>
      </c>
      <c r="E44" t="s">
        <v>179</v>
      </c>
    </row>
    <row r="45" spans="1:14">
      <c r="A45" t="s">
        <v>96</v>
      </c>
      <c r="B45" t="s">
        <v>66</v>
      </c>
      <c r="C45" t="s">
        <v>261</v>
      </c>
      <c r="D45">
        <v>0</v>
      </c>
      <c r="E45" t="s">
        <v>170</v>
      </c>
      <c r="F45" t="s">
        <v>317</v>
      </c>
      <c r="G45" t="s">
        <v>65</v>
      </c>
      <c r="H45" t="s">
        <v>307</v>
      </c>
    </row>
    <row r="46" spans="1:14">
      <c r="A46" t="s">
        <v>96</v>
      </c>
      <c r="D46">
        <v>1</v>
      </c>
      <c r="E46" t="s">
        <v>171</v>
      </c>
    </row>
    <row r="47" spans="1:14">
      <c r="A47" t="s">
        <v>96</v>
      </c>
      <c r="B47" t="s">
        <v>15</v>
      </c>
      <c r="C47" t="s">
        <v>260</v>
      </c>
      <c r="D47" t="s">
        <v>258</v>
      </c>
      <c r="E47" t="s">
        <v>117</v>
      </c>
      <c r="F47" t="s">
        <v>501</v>
      </c>
      <c r="G47" t="s">
        <v>15</v>
      </c>
      <c r="H47" t="s">
        <v>16</v>
      </c>
    </row>
    <row r="48" spans="1:14">
      <c r="A48" t="s">
        <v>96</v>
      </c>
      <c r="B48" t="s">
        <v>502</v>
      </c>
      <c r="C48" t="s">
        <v>261</v>
      </c>
      <c r="D48" t="s">
        <v>504</v>
      </c>
      <c r="E48" t="s">
        <v>507</v>
      </c>
      <c r="F48" t="s">
        <v>511</v>
      </c>
      <c r="G48" t="s">
        <v>15</v>
      </c>
      <c r="H48" t="s">
        <v>16</v>
      </c>
      <c r="I48" t="s">
        <v>282</v>
      </c>
      <c r="J48" t="s">
        <v>275</v>
      </c>
    </row>
    <row r="49" spans="1:12">
      <c r="A49" t="s">
        <v>96</v>
      </c>
      <c r="D49" t="s">
        <v>505</v>
      </c>
      <c r="E49" t="s">
        <v>508</v>
      </c>
      <c r="F49" t="s">
        <v>512</v>
      </c>
    </row>
    <row r="50" spans="1:12">
      <c r="A50" t="s">
        <v>96</v>
      </c>
      <c r="D50" t="s">
        <v>506</v>
      </c>
      <c r="E50" t="s">
        <v>509</v>
      </c>
      <c r="F50" t="s">
        <v>513</v>
      </c>
    </row>
    <row r="51" spans="1:12">
      <c r="A51" t="s">
        <v>96</v>
      </c>
      <c r="D51" t="s">
        <v>169</v>
      </c>
      <c r="E51" t="s">
        <v>169</v>
      </c>
      <c r="F51" t="s">
        <v>510</v>
      </c>
    </row>
    <row r="52" spans="1:12" s="4" customFormat="1">
      <c r="A52" s="4" t="s">
        <v>96</v>
      </c>
      <c r="B52" s="4" t="s">
        <v>67</v>
      </c>
      <c r="C52" s="4" t="s">
        <v>260</v>
      </c>
      <c r="D52" s="4" t="s">
        <v>109</v>
      </c>
      <c r="E52" s="4" t="s">
        <v>453</v>
      </c>
      <c r="F52" s="4" t="s">
        <v>318</v>
      </c>
      <c r="G52" s="4" t="s">
        <v>315</v>
      </c>
      <c r="H52" s="4" t="s">
        <v>307</v>
      </c>
      <c r="I52" s="4" t="s">
        <v>65</v>
      </c>
      <c r="J52" s="4" t="s">
        <v>307</v>
      </c>
    </row>
    <row r="53" spans="1:12" s="4" customFormat="1">
      <c r="A53" s="4" t="s">
        <v>96</v>
      </c>
      <c r="B53" s="4" t="s">
        <v>68</v>
      </c>
      <c r="C53" s="4" t="s">
        <v>260</v>
      </c>
      <c r="D53" s="4" t="s">
        <v>109</v>
      </c>
      <c r="E53" s="4" t="s">
        <v>454</v>
      </c>
      <c r="F53" s="4" t="s">
        <v>319</v>
      </c>
      <c r="G53" s="4" t="s">
        <v>315</v>
      </c>
      <c r="H53" s="4" t="s">
        <v>307</v>
      </c>
      <c r="I53" s="4" t="s">
        <v>65</v>
      </c>
      <c r="J53" s="4" t="s">
        <v>307</v>
      </c>
    </row>
    <row r="54" spans="1:12">
      <c r="A54" t="s">
        <v>96</v>
      </c>
      <c r="B54" t="s">
        <v>495</v>
      </c>
      <c r="C54" t="s">
        <v>260</v>
      </c>
      <c r="D54" t="s">
        <v>109</v>
      </c>
      <c r="E54" t="s">
        <v>498</v>
      </c>
      <c r="F54" t="s">
        <v>500</v>
      </c>
      <c r="G54" t="s">
        <v>68</v>
      </c>
      <c r="H54" t="s">
        <v>307</v>
      </c>
      <c r="I54" t="s">
        <v>67</v>
      </c>
      <c r="J54" t="s">
        <v>307</v>
      </c>
      <c r="K54" t="s">
        <v>447</v>
      </c>
      <c r="L54" t="s">
        <v>307</v>
      </c>
    </row>
    <row r="55" spans="1:12">
      <c r="A55" t="s">
        <v>96</v>
      </c>
      <c r="B55" t="s">
        <v>69</v>
      </c>
      <c r="C55" t="s">
        <v>260</v>
      </c>
      <c r="D55" t="s">
        <v>109</v>
      </c>
      <c r="E55" t="s">
        <v>499</v>
      </c>
      <c r="F55" t="s">
        <v>448</v>
      </c>
      <c r="G55" t="s">
        <v>68</v>
      </c>
      <c r="H55" t="s">
        <v>307</v>
      </c>
      <c r="I55" t="s">
        <v>67</v>
      </c>
      <c r="J55" t="s">
        <v>307</v>
      </c>
    </row>
    <row r="56" spans="1:12">
      <c r="A56" t="s">
        <v>96</v>
      </c>
      <c r="B56" t="s">
        <v>582</v>
      </c>
      <c r="C56" t="s">
        <v>260</v>
      </c>
      <c r="D56" t="s">
        <v>109</v>
      </c>
      <c r="E56" t="s">
        <v>584</v>
      </c>
      <c r="F56" t="s">
        <v>585</v>
      </c>
      <c r="G56" t="s">
        <v>447</v>
      </c>
      <c r="H56" t="s">
        <v>307</v>
      </c>
    </row>
    <row r="57" spans="1:12" s="4" customFormat="1">
      <c r="A57" s="4" t="s">
        <v>96</v>
      </c>
      <c r="B57" s="4" t="s">
        <v>70</v>
      </c>
      <c r="C57" s="4" t="s">
        <v>261</v>
      </c>
      <c r="D57" s="4">
        <v>0</v>
      </c>
      <c r="E57" s="4" t="s">
        <v>172</v>
      </c>
      <c r="F57" s="4" t="s">
        <v>352</v>
      </c>
      <c r="G57" s="4" t="s">
        <v>66</v>
      </c>
      <c r="H57" s="4" t="s">
        <v>307</v>
      </c>
      <c r="I57" s="4" t="s">
        <v>320</v>
      </c>
    </row>
    <row r="58" spans="1:12" s="4" customFormat="1">
      <c r="A58" s="4" t="s">
        <v>96</v>
      </c>
      <c r="D58" s="4">
        <v>1</v>
      </c>
      <c r="E58" s="4" t="s">
        <v>173</v>
      </c>
    </row>
    <row r="59" spans="1:12" s="4" customFormat="1">
      <c r="A59" s="4" t="s">
        <v>96</v>
      </c>
      <c r="D59" s="4">
        <v>2</v>
      </c>
      <c r="E59" s="4" t="s">
        <v>174</v>
      </c>
    </row>
    <row r="60" spans="1:12" s="4" customFormat="1">
      <c r="A60" s="4" t="s">
        <v>96</v>
      </c>
      <c r="D60" s="4">
        <v>3</v>
      </c>
      <c r="E60" s="4" t="s">
        <v>175</v>
      </c>
    </row>
    <row r="61" spans="1:12" s="4" customFormat="1">
      <c r="A61" s="4" t="s">
        <v>96</v>
      </c>
      <c r="D61" s="4" t="s">
        <v>169</v>
      </c>
      <c r="E61" s="4" t="s">
        <v>180</v>
      </c>
    </row>
    <row r="62" spans="1:12">
      <c r="A62" t="s">
        <v>96</v>
      </c>
      <c r="B62" t="s">
        <v>71</v>
      </c>
      <c r="C62" t="s">
        <v>261</v>
      </c>
      <c r="D62">
        <v>0</v>
      </c>
      <c r="E62" t="s">
        <v>172</v>
      </c>
      <c r="F62" t="s">
        <v>353</v>
      </c>
      <c r="G62" t="s">
        <v>66</v>
      </c>
      <c r="H62" t="s">
        <v>307</v>
      </c>
      <c r="I62" t="s">
        <v>320</v>
      </c>
    </row>
    <row r="63" spans="1:12">
      <c r="A63" t="s">
        <v>96</v>
      </c>
      <c r="D63">
        <v>1</v>
      </c>
      <c r="E63" t="s">
        <v>176</v>
      </c>
    </row>
    <row r="64" spans="1:12">
      <c r="A64" t="s">
        <v>96</v>
      </c>
      <c r="D64" t="s">
        <v>169</v>
      </c>
      <c r="E64" t="s">
        <v>180</v>
      </c>
    </row>
    <row r="65" spans="1:13">
      <c r="A65" t="s">
        <v>96</v>
      </c>
      <c r="B65" t="s">
        <v>73</v>
      </c>
      <c r="C65" t="s">
        <v>261</v>
      </c>
      <c r="D65">
        <v>0</v>
      </c>
      <c r="E65" t="s">
        <v>167</v>
      </c>
      <c r="F65" t="s">
        <v>354</v>
      </c>
      <c r="G65" t="s">
        <v>58</v>
      </c>
      <c r="H65" t="s">
        <v>307</v>
      </c>
    </row>
    <row r="66" spans="1:13">
      <c r="A66" t="s">
        <v>96</v>
      </c>
      <c r="D66">
        <v>1</v>
      </c>
      <c r="E66" t="s">
        <v>168</v>
      </c>
    </row>
    <row r="67" spans="1:13">
      <c r="A67" t="s">
        <v>96</v>
      </c>
      <c r="D67" t="s">
        <v>169</v>
      </c>
      <c r="E67" t="s">
        <v>254</v>
      </c>
    </row>
    <row r="68" spans="1:13">
      <c r="A68" t="s">
        <v>96</v>
      </c>
      <c r="B68" t="s">
        <v>74</v>
      </c>
      <c r="C68" t="s">
        <v>261</v>
      </c>
      <c r="D68">
        <v>0</v>
      </c>
      <c r="E68" t="s">
        <v>167</v>
      </c>
      <c r="F68" s="11" t="s">
        <v>355</v>
      </c>
      <c r="G68" s="11" t="s">
        <v>73</v>
      </c>
      <c r="H68" s="11" t="s">
        <v>307</v>
      </c>
      <c r="I68" s="11" t="s">
        <v>70</v>
      </c>
      <c r="J68" s="11" t="s">
        <v>307</v>
      </c>
      <c r="K68" s="11" t="s">
        <v>60</v>
      </c>
      <c r="L68" s="11" t="s">
        <v>307</v>
      </c>
      <c r="M68" s="11"/>
    </row>
    <row r="69" spans="1:13">
      <c r="A69" t="s">
        <v>96</v>
      </c>
      <c r="D69">
        <v>1</v>
      </c>
      <c r="E69" t="s">
        <v>168</v>
      </c>
    </row>
    <row r="70" spans="1:13">
      <c r="A70" t="s">
        <v>96</v>
      </c>
      <c r="D70" t="s">
        <v>169</v>
      </c>
      <c r="E70" t="s">
        <v>255</v>
      </c>
    </row>
    <row r="71" spans="1:13">
      <c r="A71" t="s">
        <v>96</v>
      </c>
      <c r="B71" t="s">
        <v>75</v>
      </c>
      <c r="C71" t="s">
        <v>260</v>
      </c>
      <c r="D71" t="s">
        <v>108</v>
      </c>
      <c r="F71" t="s">
        <v>356</v>
      </c>
      <c r="G71" t="s">
        <v>59</v>
      </c>
      <c r="H71" t="s">
        <v>307</v>
      </c>
    </row>
    <row r="72" spans="1:13" s="4" customFormat="1">
      <c r="A72" s="4" t="s">
        <v>96</v>
      </c>
      <c r="B72" s="4" t="s">
        <v>76</v>
      </c>
      <c r="C72" s="4" t="s">
        <v>261</v>
      </c>
      <c r="D72" s="4">
        <v>1</v>
      </c>
      <c r="E72" s="4" t="s">
        <v>256</v>
      </c>
      <c r="F72" s="4" t="s">
        <v>357</v>
      </c>
      <c r="G72" s="4" t="s">
        <v>321</v>
      </c>
      <c r="H72" s="4" t="s">
        <v>307</v>
      </c>
    </row>
    <row r="73" spans="1:13" s="4" customFormat="1">
      <c r="A73" s="4" t="s">
        <v>96</v>
      </c>
      <c r="D73" s="4">
        <v>2</v>
      </c>
      <c r="E73" s="4" t="s">
        <v>182</v>
      </c>
    </row>
    <row r="74" spans="1:13" s="4" customFormat="1">
      <c r="A74" s="4" t="s">
        <v>96</v>
      </c>
      <c r="D74" s="4">
        <v>3</v>
      </c>
      <c r="E74" s="4" t="s">
        <v>183</v>
      </c>
    </row>
    <row r="75" spans="1:13" s="4" customFormat="1">
      <c r="A75" s="4" t="s">
        <v>96</v>
      </c>
      <c r="D75" s="4">
        <v>4</v>
      </c>
      <c r="E75" s="4" t="s">
        <v>184</v>
      </c>
    </row>
    <row r="76" spans="1:13" s="4" customFormat="1">
      <c r="A76" s="4" t="s">
        <v>96</v>
      </c>
      <c r="D76" s="4">
        <v>5</v>
      </c>
      <c r="E76" s="4" t="s">
        <v>185</v>
      </c>
    </row>
    <row r="77" spans="1:13" s="4" customFormat="1">
      <c r="A77" s="4" t="s">
        <v>96</v>
      </c>
      <c r="D77" s="4">
        <v>6</v>
      </c>
      <c r="E77" s="4" t="s">
        <v>186</v>
      </c>
    </row>
    <row r="78" spans="1:13" s="4" customFormat="1">
      <c r="A78" s="4" t="s">
        <v>96</v>
      </c>
      <c r="D78" s="4">
        <v>7</v>
      </c>
      <c r="E78" s="4" t="s">
        <v>187</v>
      </c>
    </row>
    <row r="79" spans="1:13" s="4" customFormat="1">
      <c r="A79" s="4" t="s">
        <v>96</v>
      </c>
      <c r="D79" s="4">
        <v>8</v>
      </c>
      <c r="E79" s="4" t="s">
        <v>188</v>
      </c>
    </row>
    <row r="80" spans="1:13" s="4" customFormat="1">
      <c r="A80" s="4" t="s">
        <v>96</v>
      </c>
      <c r="D80" s="4">
        <v>9</v>
      </c>
      <c r="E80" s="4" t="s">
        <v>189</v>
      </c>
    </row>
    <row r="81" spans="1:8" s="4" customFormat="1">
      <c r="A81" s="4" t="s">
        <v>96</v>
      </c>
      <c r="D81" s="4">
        <v>10</v>
      </c>
      <c r="E81" s="4" t="s">
        <v>190</v>
      </c>
    </row>
    <row r="82" spans="1:8" s="4" customFormat="1">
      <c r="A82" s="4" t="s">
        <v>96</v>
      </c>
      <c r="D82" s="4">
        <v>11</v>
      </c>
      <c r="E82" s="4" t="s">
        <v>191</v>
      </c>
    </row>
    <row r="83" spans="1:8" s="4" customFormat="1">
      <c r="A83" s="4" t="s">
        <v>96</v>
      </c>
      <c r="D83" s="4">
        <v>12</v>
      </c>
      <c r="E83" s="4" t="s">
        <v>192</v>
      </c>
    </row>
    <row r="84" spans="1:8" s="4" customFormat="1">
      <c r="A84" s="4" t="s">
        <v>96</v>
      </c>
      <c r="D84" s="4">
        <v>13</v>
      </c>
      <c r="E84" s="4" t="s">
        <v>193</v>
      </c>
    </row>
    <row r="85" spans="1:8" s="4" customFormat="1">
      <c r="A85" s="4" t="s">
        <v>96</v>
      </c>
      <c r="D85" s="4" t="s">
        <v>169</v>
      </c>
      <c r="E85" s="4" t="s">
        <v>194</v>
      </c>
    </row>
    <row r="86" spans="1:8">
      <c r="A86" t="s">
        <v>96</v>
      </c>
      <c r="B86" t="s">
        <v>77</v>
      </c>
      <c r="C86" t="s">
        <v>260</v>
      </c>
      <c r="D86">
        <v>1</v>
      </c>
      <c r="E86" t="s">
        <v>181</v>
      </c>
      <c r="F86" t="s">
        <v>413</v>
      </c>
      <c r="G86" t="s">
        <v>321</v>
      </c>
      <c r="H86" t="s">
        <v>307</v>
      </c>
    </row>
    <row r="87" spans="1:8">
      <c r="A87" t="s">
        <v>96</v>
      </c>
      <c r="D87">
        <f>D86 +1</f>
        <v>2</v>
      </c>
      <c r="E87" t="s">
        <v>397</v>
      </c>
    </row>
    <row r="88" spans="1:8">
      <c r="A88" t="s">
        <v>96</v>
      </c>
      <c r="D88">
        <f t="shared" ref="D88:D103" si="0">D87 +1</f>
        <v>3</v>
      </c>
      <c r="E88" t="s">
        <v>399</v>
      </c>
    </row>
    <row r="89" spans="1:8">
      <c r="A89" t="s">
        <v>96</v>
      </c>
      <c r="D89">
        <f t="shared" si="0"/>
        <v>4</v>
      </c>
      <c r="E89" t="s">
        <v>398</v>
      </c>
    </row>
    <row r="90" spans="1:8">
      <c r="A90" t="s">
        <v>96</v>
      </c>
      <c r="D90">
        <f t="shared" si="0"/>
        <v>5</v>
      </c>
      <c r="E90" t="s">
        <v>400</v>
      </c>
    </row>
    <row r="91" spans="1:8">
      <c r="A91" t="s">
        <v>96</v>
      </c>
      <c r="D91">
        <f t="shared" si="0"/>
        <v>6</v>
      </c>
      <c r="E91" t="s">
        <v>401</v>
      </c>
    </row>
    <row r="92" spans="1:8">
      <c r="A92" t="s">
        <v>96</v>
      </c>
      <c r="D92">
        <f t="shared" si="0"/>
        <v>7</v>
      </c>
      <c r="E92" t="s">
        <v>402</v>
      </c>
    </row>
    <row r="93" spans="1:8">
      <c r="A93" t="s">
        <v>96</v>
      </c>
      <c r="D93">
        <f t="shared" si="0"/>
        <v>8</v>
      </c>
      <c r="E93" t="s">
        <v>403</v>
      </c>
    </row>
    <row r="94" spans="1:8">
      <c r="A94" t="s">
        <v>96</v>
      </c>
      <c r="D94">
        <f t="shared" si="0"/>
        <v>9</v>
      </c>
      <c r="E94" t="s">
        <v>404</v>
      </c>
    </row>
    <row r="95" spans="1:8">
      <c r="A95" t="s">
        <v>96</v>
      </c>
      <c r="D95">
        <f t="shared" si="0"/>
        <v>10</v>
      </c>
      <c r="E95" t="s">
        <v>405</v>
      </c>
    </row>
    <row r="96" spans="1:8">
      <c r="A96" t="s">
        <v>96</v>
      </c>
      <c r="D96">
        <f t="shared" si="0"/>
        <v>11</v>
      </c>
      <c r="E96" t="s">
        <v>406</v>
      </c>
    </row>
    <row r="97" spans="1:16">
      <c r="A97" t="s">
        <v>96</v>
      </c>
      <c r="D97">
        <f t="shared" si="0"/>
        <v>12</v>
      </c>
      <c r="E97" t="s">
        <v>407</v>
      </c>
    </row>
    <row r="98" spans="1:16">
      <c r="A98" t="s">
        <v>96</v>
      </c>
      <c r="D98">
        <f t="shared" si="0"/>
        <v>13</v>
      </c>
      <c r="E98" t="s">
        <v>408</v>
      </c>
    </row>
    <row r="99" spans="1:16">
      <c r="A99" t="s">
        <v>96</v>
      </c>
      <c r="D99">
        <f t="shared" si="0"/>
        <v>14</v>
      </c>
      <c r="E99" t="s">
        <v>409</v>
      </c>
    </row>
    <row r="100" spans="1:16">
      <c r="A100" t="s">
        <v>96</v>
      </c>
      <c r="D100">
        <f t="shared" si="0"/>
        <v>15</v>
      </c>
      <c r="E100" s="20" t="s">
        <v>411</v>
      </c>
    </row>
    <row r="101" spans="1:16">
      <c r="A101" t="s">
        <v>96</v>
      </c>
      <c r="D101">
        <f t="shared" si="0"/>
        <v>16</v>
      </c>
      <c r="E101" t="s">
        <v>410</v>
      </c>
    </row>
    <row r="102" spans="1:16">
      <c r="A102" t="s">
        <v>96</v>
      </c>
      <c r="D102">
        <f>D101 +1</f>
        <v>17</v>
      </c>
      <c r="E102" t="s">
        <v>412</v>
      </c>
    </row>
    <row r="103" spans="1:16">
      <c r="A103" t="s">
        <v>96</v>
      </c>
      <c r="D103">
        <f t="shared" si="0"/>
        <v>18</v>
      </c>
      <c r="E103" t="s">
        <v>195</v>
      </c>
    </row>
    <row r="104" spans="1:16">
      <c r="A104" t="s">
        <v>96</v>
      </c>
      <c r="D104" t="s">
        <v>169</v>
      </c>
      <c r="E104" t="s">
        <v>194</v>
      </c>
    </row>
    <row r="105" spans="1:16">
      <c r="A105" t="s">
        <v>96</v>
      </c>
      <c r="B105" t="s">
        <v>78</v>
      </c>
      <c r="C105" t="s">
        <v>261</v>
      </c>
      <c r="D105">
        <v>0</v>
      </c>
      <c r="E105" t="s">
        <v>197</v>
      </c>
      <c r="F105" t="s">
        <v>358</v>
      </c>
      <c r="G105" t="s">
        <v>66</v>
      </c>
      <c r="H105" t="s">
        <v>307</v>
      </c>
      <c r="I105" t="s">
        <v>322</v>
      </c>
    </row>
    <row r="106" spans="1:16">
      <c r="A106" t="s">
        <v>96</v>
      </c>
      <c r="D106">
        <v>1</v>
      </c>
      <c r="E106" t="s">
        <v>198</v>
      </c>
    </row>
    <row r="107" spans="1:16">
      <c r="A107" t="s">
        <v>96</v>
      </c>
      <c r="D107">
        <v>2</v>
      </c>
      <c r="E107" t="s">
        <v>196</v>
      </c>
    </row>
    <row r="108" spans="1:16">
      <c r="A108" t="s">
        <v>96</v>
      </c>
      <c r="D108" t="s">
        <v>169</v>
      </c>
      <c r="E108" t="s">
        <v>199</v>
      </c>
    </row>
    <row r="109" spans="1:16">
      <c r="A109" t="s">
        <v>96</v>
      </c>
      <c r="B109" t="s">
        <v>79</v>
      </c>
      <c r="C109" t="s">
        <v>261</v>
      </c>
      <c r="D109">
        <v>0</v>
      </c>
      <c r="E109" t="s">
        <v>201</v>
      </c>
      <c r="F109" t="s">
        <v>359</v>
      </c>
      <c r="G109" t="s">
        <v>66</v>
      </c>
      <c r="H109" t="s">
        <v>307</v>
      </c>
      <c r="I109" t="s">
        <v>73</v>
      </c>
      <c r="J109" t="s">
        <v>307</v>
      </c>
      <c r="K109" t="s">
        <v>74</v>
      </c>
      <c r="L109" t="s">
        <v>307</v>
      </c>
      <c r="M109" t="s">
        <v>48</v>
      </c>
      <c r="N109" t="s">
        <v>307</v>
      </c>
      <c r="O109" t="s">
        <v>323</v>
      </c>
      <c r="P109" t="s">
        <v>307</v>
      </c>
    </row>
    <row r="110" spans="1:16">
      <c r="A110" t="s">
        <v>96</v>
      </c>
      <c r="D110">
        <v>1</v>
      </c>
      <c r="E110" t="s">
        <v>202</v>
      </c>
    </row>
    <row r="111" spans="1:16">
      <c r="A111" t="s">
        <v>96</v>
      </c>
      <c r="D111">
        <v>2</v>
      </c>
      <c r="E111" t="s">
        <v>203</v>
      </c>
    </row>
    <row r="112" spans="1:16">
      <c r="A112" t="s">
        <v>96</v>
      </c>
      <c r="D112">
        <v>3</v>
      </c>
      <c r="E112" t="s">
        <v>204</v>
      </c>
    </row>
    <row r="113" spans="1:17">
      <c r="A113" t="s">
        <v>96</v>
      </c>
      <c r="D113" t="s">
        <v>169</v>
      </c>
      <c r="E113" t="s">
        <v>200</v>
      </c>
    </row>
    <row r="114" spans="1:17">
      <c r="A114" t="s">
        <v>96</v>
      </c>
      <c r="B114" t="s">
        <v>80</v>
      </c>
      <c r="C114" t="s">
        <v>261</v>
      </c>
      <c r="D114">
        <v>0</v>
      </c>
      <c r="E114" t="s">
        <v>201</v>
      </c>
      <c r="F114" t="s">
        <v>360</v>
      </c>
      <c r="G114" t="s">
        <v>66</v>
      </c>
      <c r="H114" t="s">
        <v>307</v>
      </c>
      <c r="I114" t="s">
        <v>73</v>
      </c>
      <c r="J114" t="s">
        <v>307</v>
      </c>
      <c r="K114" t="s">
        <v>74</v>
      </c>
      <c r="L114" t="s">
        <v>307</v>
      </c>
      <c r="M114" t="s">
        <v>48</v>
      </c>
      <c r="N114" t="s">
        <v>307</v>
      </c>
      <c r="O114" t="s">
        <v>323</v>
      </c>
      <c r="P114" t="s">
        <v>307</v>
      </c>
    </row>
    <row r="115" spans="1:17">
      <c r="A115" t="s">
        <v>96</v>
      </c>
      <c r="D115">
        <v>1</v>
      </c>
      <c r="E115" t="s">
        <v>202</v>
      </c>
    </row>
    <row r="116" spans="1:17">
      <c r="A116" t="s">
        <v>96</v>
      </c>
      <c r="D116">
        <v>2</v>
      </c>
      <c r="E116" t="s">
        <v>203</v>
      </c>
    </row>
    <row r="117" spans="1:17">
      <c r="A117" t="s">
        <v>96</v>
      </c>
      <c r="D117">
        <v>3</v>
      </c>
      <c r="E117" t="s">
        <v>204</v>
      </c>
    </row>
    <row r="118" spans="1:17" s="6" customFormat="1">
      <c r="A118" t="s">
        <v>96</v>
      </c>
      <c r="B118"/>
      <c r="C118"/>
      <c r="D118" t="s">
        <v>169</v>
      </c>
      <c r="E118" t="s">
        <v>205</v>
      </c>
      <c r="F118"/>
      <c r="G118"/>
      <c r="H118"/>
      <c r="I118"/>
      <c r="J118"/>
      <c r="K118"/>
      <c r="L118"/>
      <c r="M118"/>
      <c r="N118"/>
      <c r="O118"/>
      <c r="P118"/>
      <c r="Q118"/>
    </row>
    <row r="119" spans="1:17" s="4" customFormat="1">
      <c r="A119" s="4" t="s">
        <v>96</v>
      </c>
      <c r="B119" s="4" t="s">
        <v>81</v>
      </c>
      <c r="C119" s="4" t="s">
        <v>261</v>
      </c>
      <c r="D119" s="4">
        <v>0</v>
      </c>
      <c r="E119" s="4" t="s">
        <v>217</v>
      </c>
      <c r="F119" s="4" t="s">
        <v>361</v>
      </c>
      <c r="G119" s="4" t="s">
        <v>66</v>
      </c>
      <c r="H119" s="4" t="s">
        <v>307</v>
      </c>
      <c r="I119" s="4" t="s">
        <v>73</v>
      </c>
      <c r="J119" s="4" t="s">
        <v>307</v>
      </c>
      <c r="K119" s="4" t="s">
        <v>74</v>
      </c>
      <c r="L119" s="4" t="s">
        <v>307</v>
      </c>
      <c r="M119" s="4" t="s">
        <v>48</v>
      </c>
      <c r="N119" s="4" t="s">
        <v>307</v>
      </c>
      <c r="O119" s="4" t="s">
        <v>323</v>
      </c>
      <c r="P119" s="4" t="s">
        <v>307</v>
      </c>
    </row>
    <row r="120" spans="1:17" s="4" customFormat="1">
      <c r="A120" s="4" t="s">
        <v>96</v>
      </c>
      <c r="D120" s="4">
        <v>1</v>
      </c>
      <c r="E120" s="4" t="s">
        <v>208</v>
      </c>
    </row>
    <row r="121" spans="1:17" s="4" customFormat="1">
      <c r="A121" s="4" t="s">
        <v>96</v>
      </c>
      <c r="D121" s="4">
        <v>2</v>
      </c>
      <c r="E121" s="4" t="s">
        <v>207</v>
      </c>
    </row>
    <row r="122" spans="1:17" s="4" customFormat="1">
      <c r="A122" s="4" t="s">
        <v>96</v>
      </c>
      <c r="D122" s="4">
        <v>3</v>
      </c>
      <c r="E122" s="4" t="s">
        <v>209</v>
      </c>
    </row>
    <row r="123" spans="1:17" s="4" customFormat="1">
      <c r="A123" s="4" t="s">
        <v>96</v>
      </c>
      <c r="D123" s="4" t="s">
        <v>169</v>
      </c>
      <c r="E123" s="4" t="s">
        <v>206</v>
      </c>
    </row>
    <row r="124" spans="1:17" s="4" customFormat="1">
      <c r="A124" s="4" t="s">
        <v>96</v>
      </c>
      <c r="B124" s="4" t="s">
        <v>82</v>
      </c>
      <c r="C124" s="4" t="s">
        <v>261</v>
      </c>
      <c r="D124" s="4">
        <v>0</v>
      </c>
      <c r="E124" s="4" t="s">
        <v>211</v>
      </c>
      <c r="F124" s="4" t="s">
        <v>362</v>
      </c>
      <c r="G124" s="4" t="s">
        <v>66</v>
      </c>
      <c r="H124" s="4" t="s">
        <v>307</v>
      </c>
      <c r="I124" s="4" t="s">
        <v>73</v>
      </c>
      <c r="J124" s="4" t="s">
        <v>307</v>
      </c>
      <c r="K124" s="4" t="s">
        <v>74</v>
      </c>
      <c r="L124" s="4" t="s">
        <v>307</v>
      </c>
      <c r="M124" s="4" t="s">
        <v>48</v>
      </c>
      <c r="N124" s="4" t="s">
        <v>307</v>
      </c>
      <c r="O124" s="4" t="s">
        <v>323</v>
      </c>
      <c r="P124" s="4" t="s">
        <v>307</v>
      </c>
    </row>
    <row r="125" spans="1:17" s="4" customFormat="1">
      <c r="A125" s="4" t="s">
        <v>96</v>
      </c>
      <c r="D125" s="4">
        <v>1</v>
      </c>
      <c r="E125" s="4" t="s">
        <v>212</v>
      </c>
    </row>
    <row r="126" spans="1:17" s="4" customFormat="1">
      <c r="A126" s="4" t="s">
        <v>96</v>
      </c>
      <c r="D126" s="4">
        <v>2</v>
      </c>
      <c r="E126" s="4" t="s">
        <v>213</v>
      </c>
    </row>
    <row r="127" spans="1:17" s="4" customFormat="1">
      <c r="A127" s="4" t="s">
        <v>96</v>
      </c>
      <c r="D127" s="4">
        <v>3</v>
      </c>
      <c r="E127" s="4" t="s">
        <v>214</v>
      </c>
    </row>
    <row r="128" spans="1:17" s="4" customFormat="1">
      <c r="A128" s="4" t="s">
        <v>96</v>
      </c>
      <c r="D128" s="4" t="s">
        <v>169</v>
      </c>
      <c r="E128" s="4" t="s">
        <v>210</v>
      </c>
    </row>
    <row r="129" spans="1:16" s="4" customFormat="1">
      <c r="A129" s="4" t="s">
        <v>96</v>
      </c>
      <c r="B129" s="4" t="s">
        <v>83</v>
      </c>
      <c r="C129" s="4" t="s">
        <v>261</v>
      </c>
      <c r="D129" s="4">
        <v>0</v>
      </c>
      <c r="E129" s="4" t="s">
        <v>216</v>
      </c>
      <c r="F129" s="4" t="s">
        <v>363</v>
      </c>
      <c r="G129" s="4" t="s">
        <v>66</v>
      </c>
      <c r="H129" s="4" t="s">
        <v>307</v>
      </c>
      <c r="I129" s="4" t="s">
        <v>73</v>
      </c>
      <c r="J129" s="4" t="s">
        <v>307</v>
      </c>
      <c r="K129" s="4" t="s">
        <v>74</v>
      </c>
      <c r="L129" s="4" t="s">
        <v>307</v>
      </c>
      <c r="M129" s="4" t="s">
        <v>48</v>
      </c>
      <c r="N129" s="4" t="s">
        <v>307</v>
      </c>
      <c r="O129" s="4" t="s">
        <v>323</v>
      </c>
      <c r="P129" s="4" t="s">
        <v>307</v>
      </c>
    </row>
    <row r="130" spans="1:16" s="4" customFormat="1">
      <c r="A130" s="4" t="s">
        <v>96</v>
      </c>
      <c r="D130" s="4">
        <v>1</v>
      </c>
      <c r="E130" s="4" t="s">
        <v>218</v>
      </c>
    </row>
    <row r="131" spans="1:16" s="4" customFormat="1">
      <c r="A131" s="4" t="s">
        <v>96</v>
      </c>
      <c r="D131" s="4">
        <v>2</v>
      </c>
      <c r="E131" s="4" t="s">
        <v>219</v>
      </c>
    </row>
    <row r="132" spans="1:16" s="4" customFormat="1">
      <c r="A132" s="4" t="s">
        <v>96</v>
      </c>
      <c r="D132" s="4">
        <v>3</v>
      </c>
      <c r="E132" s="4" t="s">
        <v>220</v>
      </c>
    </row>
    <row r="133" spans="1:16" s="4" customFormat="1">
      <c r="A133" s="4" t="s">
        <v>96</v>
      </c>
      <c r="D133" s="4" t="s">
        <v>169</v>
      </c>
      <c r="E133" s="4" t="s">
        <v>215</v>
      </c>
    </row>
    <row r="134" spans="1:16">
      <c r="A134" t="s">
        <v>96</v>
      </c>
      <c r="B134" t="s">
        <v>84</v>
      </c>
      <c r="C134" t="s">
        <v>261</v>
      </c>
      <c r="D134">
        <v>0</v>
      </c>
      <c r="E134" t="s">
        <v>221</v>
      </c>
      <c r="F134" t="s">
        <v>364</v>
      </c>
      <c r="G134" t="s">
        <v>66</v>
      </c>
      <c r="H134" t="s">
        <v>307</v>
      </c>
      <c r="I134" t="s">
        <v>73</v>
      </c>
      <c r="J134" t="s">
        <v>307</v>
      </c>
      <c r="K134" t="s">
        <v>74</v>
      </c>
      <c r="L134" t="s">
        <v>307</v>
      </c>
      <c r="M134" t="s">
        <v>48</v>
      </c>
      <c r="N134" t="s">
        <v>307</v>
      </c>
      <c r="O134" t="s">
        <v>323</v>
      </c>
      <c r="P134" t="s">
        <v>307</v>
      </c>
    </row>
    <row r="135" spans="1:16">
      <c r="A135" t="s">
        <v>96</v>
      </c>
      <c r="D135">
        <v>1</v>
      </c>
      <c r="E135" t="s">
        <v>222</v>
      </c>
    </row>
    <row r="136" spans="1:16">
      <c r="A136" t="s">
        <v>96</v>
      </c>
      <c r="D136" t="s">
        <v>169</v>
      </c>
      <c r="E136" t="s">
        <v>223</v>
      </c>
    </row>
    <row r="137" spans="1:16">
      <c r="A137" t="s">
        <v>96</v>
      </c>
      <c r="B137" t="s">
        <v>85</v>
      </c>
      <c r="C137" t="s">
        <v>261</v>
      </c>
      <c r="D137">
        <v>0</v>
      </c>
      <c r="E137" t="s">
        <v>225</v>
      </c>
      <c r="F137" t="s">
        <v>365</v>
      </c>
      <c r="G137" t="s">
        <v>66</v>
      </c>
      <c r="H137" t="s">
        <v>307</v>
      </c>
      <c r="I137" t="s">
        <v>73</v>
      </c>
      <c r="J137" t="s">
        <v>307</v>
      </c>
      <c r="K137" t="s">
        <v>74</v>
      </c>
      <c r="L137" t="s">
        <v>307</v>
      </c>
      <c r="M137" t="s">
        <v>48</v>
      </c>
      <c r="N137" t="s">
        <v>307</v>
      </c>
      <c r="O137" t="s">
        <v>323</v>
      </c>
      <c r="P137" t="s">
        <v>307</v>
      </c>
    </row>
    <row r="138" spans="1:16">
      <c r="A138" t="s">
        <v>96</v>
      </c>
      <c r="D138">
        <v>1</v>
      </c>
      <c r="E138" t="s">
        <v>226</v>
      </c>
    </row>
    <row r="139" spans="1:16">
      <c r="A139" t="s">
        <v>96</v>
      </c>
      <c r="D139">
        <v>2</v>
      </c>
      <c r="E139" t="s">
        <v>227</v>
      </c>
    </row>
    <row r="140" spans="1:16">
      <c r="A140" t="s">
        <v>96</v>
      </c>
      <c r="D140" t="s">
        <v>169</v>
      </c>
      <c r="E140" t="s">
        <v>224</v>
      </c>
    </row>
    <row r="141" spans="1:16">
      <c r="A141" t="s">
        <v>96</v>
      </c>
      <c r="B141" t="s">
        <v>86</v>
      </c>
      <c r="C141" t="s">
        <v>261</v>
      </c>
      <c r="D141">
        <v>0</v>
      </c>
      <c r="E141" t="s">
        <v>389</v>
      </c>
      <c r="F141" t="s">
        <v>366</v>
      </c>
      <c r="G141" t="s">
        <v>66</v>
      </c>
      <c r="H141" t="s">
        <v>307</v>
      </c>
      <c r="I141" t="s">
        <v>73</v>
      </c>
      <c r="J141" t="s">
        <v>307</v>
      </c>
      <c r="K141" t="s">
        <v>74</v>
      </c>
      <c r="L141" t="s">
        <v>307</v>
      </c>
      <c r="M141" t="s">
        <v>325</v>
      </c>
      <c r="N141" t="s">
        <v>307</v>
      </c>
      <c r="O141" t="s">
        <v>326</v>
      </c>
      <c r="P141" t="s">
        <v>307</v>
      </c>
    </row>
    <row r="142" spans="1:16">
      <c r="A142" t="s">
        <v>96</v>
      </c>
      <c r="D142">
        <v>1</v>
      </c>
      <c r="E142" t="s">
        <v>390</v>
      </c>
    </row>
    <row r="143" spans="1:16">
      <c r="A143" t="s">
        <v>96</v>
      </c>
      <c r="D143">
        <v>2</v>
      </c>
      <c r="E143" t="s">
        <v>229</v>
      </c>
    </row>
    <row r="144" spans="1:16">
      <c r="A144" t="s">
        <v>96</v>
      </c>
      <c r="D144">
        <v>3</v>
      </c>
      <c r="E144" t="s">
        <v>230</v>
      </c>
    </row>
    <row r="145" spans="1:16">
      <c r="A145" t="s">
        <v>96</v>
      </c>
      <c r="D145" t="s">
        <v>169</v>
      </c>
      <c r="E145" t="s">
        <v>228</v>
      </c>
    </row>
    <row r="146" spans="1:16">
      <c r="A146" t="s">
        <v>96</v>
      </c>
      <c r="B146" t="s">
        <v>87</v>
      </c>
      <c r="C146" t="s">
        <v>261</v>
      </c>
      <c r="D146">
        <v>0</v>
      </c>
      <c r="E146" t="s">
        <v>389</v>
      </c>
      <c r="F146" t="s">
        <v>367</v>
      </c>
      <c r="G146" t="s">
        <v>66</v>
      </c>
      <c r="H146" t="s">
        <v>307</v>
      </c>
      <c r="I146" t="s">
        <v>73</v>
      </c>
      <c r="J146" t="s">
        <v>307</v>
      </c>
      <c r="K146" t="s">
        <v>74</v>
      </c>
      <c r="L146" t="s">
        <v>307</v>
      </c>
      <c r="M146" t="s">
        <v>325</v>
      </c>
      <c r="N146" t="s">
        <v>307</v>
      </c>
      <c r="O146" t="s">
        <v>326</v>
      </c>
      <c r="P146" t="s">
        <v>307</v>
      </c>
    </row>
    <row r="147" spans="1:16">
      <c r="A147" t="s">
        <v>96</v>
      </c>
      <c r="D147">
        <v>1</v>
      </c>
      <c r="E147" t="s">
        <v>390</v>
      </c>
    </row>
    <row r="148" spans="1:16">
      <c r="A148" t="s">
        <v>96</v>
      </c>
      <c r="D148">
        <v>2</v>
      </c>
      <c r="E148" t="s">
        <v>229</v>
      </c>
    </row>
    <row r="149" spans="1:16">
      <c r="A149" t="s">
        <v>96</v>
      </c>
      <c r="D149">
        <v>3</v>
      </c>
      <c r="E149" t="s">
        <v>230</v>
      </c>
    </row>
    <row r="150" spans="1:16">
      <c r="A150" t="s">
        <v>96</v>
      </c>
      <c r="D150" t="s">
        <v>169</v>
      </c>
      <c r="E150" t="s">
        <v>231</v>
      </c>
    </row>
    <row r="151" spans="1:16">
      <c r="A151" t="s">
        <v>96</v>
      </c>
      <c r="B151" t="s">
        <v>89</v>
      </c>
      <c r="C151" t="s">
        <v>261</v>
      </c>
      <c r="D151">
        <v>0</v>
      </c>
      <c r="E151" t="s">
        <v>389</v>
      </c>
      <c r="F151" t="s">
        <v>368</v>
      </c>
      <c r="G151" t="s">
        <v>66</v>
      </c>
      <c r="H151" t="s">
        <v>327</v>
      </c>
      <c r="I151" t="s">
        <v>86</v>
      </c>
      <c r="J151" t="s">
        <v>307</v>
      </c>
      <c r="K151" t="s">
        <v>87</v>
      </c>
      <c r="L151" t="s">
        <v>307</v>
      </c>
    </row>
    <row r="152" spans="1:16">
      <c r="A152" t="s">
        <v>96</v>
      </c>
      <c r="D152">
        <v>1</v>
      </c>
      <c r="E152" t="s">
        <v>390</v>
      </c>
    </row>
    <row r="153" spans="1:16">
      <c r="A153" t="s">
        <v>96</v>
      </c>
      <c r="D153">
        <v>2</v>
      </c>
      <c r="E153" t="s">
        <v>229</v>
      </c>
    </row>
    <row r="154" spans="1:16">
      <c r="A154" t="s">
        <v>96</v>
      </c>
      <c r="D154">
        <v>3</v>
      </c>
      <c r="E154" t="s">
        <v>230</v>
      </c>
    </row>
    <row r="155" spans="1:16">
      <c r="A155" t="s">
        <v>96</v>
      </c>
      <c r="D155" t="s">
        <v>169</v>
      </c>
      <c r="E155" t="s">
        <v>232</v>
      </c>
    </row>
    <row r="156" spans="1:16">
      <c r="A156" t="s">
        <v>96</v>
      </c>
      <c r="B156" t="s">
        <v>90</v>
      </c>
      <c r="C156" t="s">
        <v>261</v>
      </c>
      <c r="D156">
        <v>0</v>
      </c>
      <c r="E156" t="s">
        <v>235</v>
      </c>
      <c r="F156" t="s">
        <v>369</v>
      </c>
      <c r="G156" t="s">
        <v>66</v>
      </c>
      <c r="H156" t="s">
        <v>307</v>
      </c>
      <c r="I156" t="s">
        <v>328</v>
      </c>
      <c r="J156" t="s">
        <v>307</v>
      </c>
    </row>
    <row r="157" spans="1:16">
      <c r="A157" t="s">
        <v>96</v>
      </c>
      <c r="D157">
        <v>1</v>
      </c>
      <c r="E157" t="s">
        <v>234</v>
      </c>
    </row>
    <row r="158" spans="1:16">
      <c r="A158" t="s">
        <v>96</v>
      </c>
      <c r="D158" t="s">
        <v>169</v>
      </c>
      <c r="E158" t="s">
        <v>236</v>
      </c>
    </row>
    <row r="159" spans="1:16">
      <c r="A159" t="s">
        <v>96</v>
      </c>
      <c r="B159" t="s">
        <v>91</v>
      </c>
      <c r="C159" t="s">
        <v>261</v>
      </c>
      <c r="D159">
        <v>0</v>
      </c>
      <c r="E159" t="s">
        <v>233</v>
      </c>
      <c r="F159" t="s">
        <v>370</v>
      </c>
      <c r="G159" t="s">
        <v>66</v>
      </c>
      <c r="H159" t="s">
        <v>307</v>
      </c>
      <c r="I159" t="s">
        <v>329</v>
      </c>
      <c r="J159" t="s">
        <v>307</v>
      </c>
    </row>
    <row r="160" spans="1:16">
      <c r="A160" t="s">
        <v>96</v>
      </c>
      <c r="D160">
        <v>1</v>
      </c>
      <c r="E160" t="s">
        <v>243</v>
      </c>
    </row>
    <row r="161" spans="1:12">
      <c r="A161" t="s">
        <v>96</v>
      </c>
      <c r="D161">
        <v>2</v>
      </c>
      <c r="E161" t="s">
        <v>238</v>
      </c>
    </row>
    <row r="162" spans="1:12">
      <c r="A162" t="s">
        <v>96</v>
      </c>
      <c r="D162">
        <v>3</v>
      </c>
      <c r="E162" t="s">
        <v>239</v>
      </c>
    </row>
    <row r="163" spans="1:12">
      <c r="A163" t="s">
        <v>96</v>
      </c>
      <c r="D163">
        <v>4</v>
      </c>
      <c r="E163" t="s">
        <v>240</v>
      </c>
    </row>
    <row r="164" spans="1:12">
      <c r="A164" t="s">
        <v>96</v>
      </c>
      <c r="D164">
        <v>5</v>
      </c>
      <c r="E164" t="s">
        <v>241</v>
      </c>
    </row>
    <row r="165" spans="1:12">
      <c r="A165" t="s">
        <v>96</v>
      </c>
      <c r="D165">
        <v>6</v>
      </c>
      <c r="E165" t="s">
        <v>242</v>
      </c>
    </row>
    <row r="166" spans="1:12">
      <c r="A166" t="s">
        <v>96</v>
      </c>
      <c r="D166">
        <v>7</v>
      </c>
      <c r="E166" t="s">
        <v>237</v>
      </c>
    </row>
    <row r="167" spans="1:12">
      <c r="A167" t="s">
        <v>96</v>
      </c>
      <c r="D167" t="s">
        <v>169</v>
      </c>
      <c r="E167" t="s">
        <v>244</v>
      </c>
    </row>
    <row r="168" spans="1:12">
      <c r="A168" t="s">
        <v>96</v>
      </c>
      <c r="B168" t="s">
        <v>92</v>
      </c>
      <c r="C168" t="s">
        <v>261</v>
      </c>
      <c r="D168">
        <v>0</v>
      </c>
      <c r="E168" t="s">
        <v>245</v>
      </c>
      <c r="F168" t="s">
        <v>371</v>
      </c>
      <c r="G168" t="s">
        <v>66</v>
      </c>
      <c r="H168" t="s">
        <v>307</v>
      </c>
      <c r="I168" t="s">
        <v>329</v>
      </c>
      <c r="J168" t="s">
        <v>307</v>
      </c>
    </row>
    <row r="169" spans="1:12">
      <c r="A169" t="s">
        <v>96</v>
      </c>
      <c r="D169">
        <v>1</v>
      </c>
      <c r="E169" t="s">
        <v>246</v>
      </c>
    </row>
    <row r="170" spans="1:12">
      <c r="A170" t="s">
        <v>96</v>
      </c>
      <c r="D170">
        <v>2</v>
      </c>
      <c r="E170" t="s">
        <v>247</v>
      </c>
    </row>
    <row r="171" spans="1:12">
      <c r="A171" t="s">
        <v>96</v>
      </c>
      <c r="D171">
        <v>3</v>
      </c>
      <c r="E171" t="s">
        <v>248</v>
      </c>
    </row>
    <row r="172" spans="1:12">
      <c r="A172" t="s">
        <v>96</v>
      </c>
      <c r="D172">
        <v>4</v>
      </c>
      <c r="E172" t="s">
        <v>249</v>
      </c>
    </row>
    <row r="173" spans="1:12">
      <c r="A173" t="s">
        <v>96</v>
      </c>
      <c r="D173">
        <v>5</v>
      </c>
      <c r="E173" t="s">
        <v>250</v>
      </c>
    </row>
    <row r="174" spans="1:12">
      <c r="A174" t="s">
        <v>96</v>
      </c>
      <c r="D174" t="s">
        <v>169</v>
      </c>
      <c r="E174" t="s">
        <v>244</v>
      </c>
    </row>
    <row r="175" spans="1:12">
      <c r="A175" t="s">
        <v>96</v>
      </c>
      <c r="B175" t="s">
        <v>93</v>
      </c>
      <c r="C175" t="s">
        <v>261</v>
      </c>
      <c r="D175">
        <v>0</v>
      </c>
      <c r="E175" t="s">
        <v>251</v>
      </c>
      <c r="F175" t="s">
        <v>373</v>
      </c>
      <c r="G175" t="s">
        <v>66</v>
      </c>
      <c r="H175" t="s">
        <v>307</v>
      </c>
      <c r="I175" t="s">
        <v>330</v>
      </c>
      <c r="J175" t="s">
        <v>307</v>
      </c>
      <c r="K175" t="s">
        <v>331</v>
      </c>
      <c r="L175" t="s">
        <v>307</v>
      </c>
    </row>
    <row r="176" spans="1:12">
      <c r="A176" t="s">
        <v>96</v>
      </c>
      <c r="D176">
        <v>1</v>
      </c>
      <c r="E176" t="s">
        <v>252</v>
      </c>
    </row>
    <row r="177" spans="1:16">
      <c r="A177" t="s">
        <v>96</v>
      </c>
      <c r="D177">
        <v>2</v>
      </c>
      <c r="E177" t="s">
        <v>372</v>
      </c>
    </row>
    <row r="178" spans="1:16">
      <c r="A178" t="s">
        <v>96</v>
      </c>
      <c r="D178" t="s">
        <v>169</v>
      </c>
      <c r="E178" t="s">
        <v>253</v>
      </c>
    </row>
    <row r="179" spans="1:16" s="32" customFormat="1">
      <c r="A179" s="32" t="s">
        <v>96</v>
      </c>
      <c r="B179" s="32" t="s">
        <v>382</v>
      </c>
      <c r="C179" s="32" t="s">
        <v>261</v>
      </c>
      <c r="D179" s="32">
        <v>0</v>
      </c>
      <c r="E179" s="32" t="s">
        <v>389</v>
      </c>
      <c r="F179" s="32" t="s">
        <v>594</v>
      </c>
      <c r="G179" s="32" t="s">
        <v>66</v>
      </c>
      <c r="H179" s="32" t="s">
        <v>307</v>
      </c>
      <c r="I179" s="32" t="s">
        <v>73</v>
      </c>
      <c r="J179" s="32" t="s">
        <v>307</v>
      </c>
      <c r="K179" s="32" t="s">
        <v>74</v>
      </c>
      <c r="L179" s="32" t="s">
        <v>307</v>
      </c>
      <c r="M179" s="32" t="s">
        <v>325</v>
      </c>
      <c r="N179" s="32" t="s">
        <v>307</v>
      </c>
      <c r="O179" s="32" t="s">
        <v>326</v>
      </c>
      <c r="P179" s="32" t="s">
        <v>307</v>
      </c>
    </row>
    <row r="180" spans="1:16" s="32" customFormat="1">
      <c r="A180" s="32" t="s">
        <v>96</v>
      </c>
      <c r="D180" s="32">
        <v>1</v>
      </c>
      <c r="E180" s="32" t="s">
        <v>592</v>
      </c>
    </row>
    <row r="181" spans="1:16" s="32" customFormat="1">
      <c r="A181" s="32" t="s">
        <v>96</v>
      </c>
      <c r="D181" s="32">
        <v>1.5</v>
      </c>
      <c r="E181" s="32" t="s">
        <v>590</v>
      </c>
    </row>
    <row r="182" spans="1:16" s="32" customFormat="1">
      <c r="A182" s="32" t="s">
        <v>96</v>
      </c>
      <c r="D182" s="32">
        <v>2</v>
      </c>
      <c r="E182" s="32" t="s">
        <v>591</v>
      </c>
    </row>
    <row r="183" spans="1:16" s="32" customFormat="1">
      <c r="A183" s="32" t="s">
        <v>96</v>
      </c>
      <c r="D183" s="32">
        <v>3</v>
      </c>
      <c r="E183" s="32" t="s">
        <v>229</v>
      </c>
    </row>
    <row r="184" spans="1:16" s="32" customFormat="1">
      <c r="A184" s="32" t="s">
        <v>96</v>
      </c>
      <c r="D184" s="32">
        <v>4</v>
      </c>
      <c r="E184" s="32" t="s">
        <v>230</v>
      </c>
    </row>
    <row r="185" spans="1:16" s="32" customFormat="1">
      <c r="A185" s="32" t="s">
        <v>96</v>
      </c>
      <c r="D185" s="32" t="s">
        <v>169</v>
      </c>
      <c r="E185" s="32" t="s">
        <v>228</v>
      </c>
    </row>
    <row r="186" spans="1:16" s="32" customFormat="1">
      <c r="A186" s="32" t="s">
        <v>96</v>
      </c>
      <c r="B186" s="32" t="s">
        <v>383</v>
      </c>
      <c r="C186" s="32" t="s">
        <v>261</v>
      </c>
      <c r="D186" s="32">
        <v>0</v>
      </c>
      <c r="E186" s="32" t="s">
        <v>389</v>
      </c>
      <c r="F186" s="32" t="s">
        <v>593</v>
      </c>
      <c r="G186" s="32" t="s">
        <v>66</v>
      </c>
      <c r="H186" s="32" t="s">
        <v>307</v>
      </c>
      <c r="I186" s="32" t="s">
        <v>73</v>
      </c>
      <c r="J186" s="32" t="s">
        <v>307</v>
      </c>
      <c r="K186" s="32" t="s">
        <v>74</v>
      </c>
      <c r="L186" s="32" t="s">
        <v>307</v>
      </c>
      <c r="M186" s="32" t="s">
        <v>325</v>
      </c>
      <c r="N186" s="32" t="s">
        <v>307</v>
      </c>
      <c r="O186" s="32" t="s">
        <v>326</v>
      </c>
      <c r="P186" s="32" t="s">
        <v>307</v>
      </c>
    </row>
    <row r="187" spans="1:16" s="32" customFormat="1">
      <c r="A187" s="32" t="s">
        <v>96</v>
      </c>
      <c r="D187" s="32">
        <v>1</v>
      </c>
      <c r="E187" s="32" t="s">
        <v>592</v>
      </c>
    </row>
    <row r="188" spans="1:16" s="32" customFormat="1">
      <c r="A188" s="32" t="s">
        <v>96</v>
      </c>
      <c r="D188" s="32">
        <v>1.5</v>
      </c>
      <c r="E188" s="32" t="s">
        <v>590</v>
      </c>
    </row>
    <row r="189" spans="1:16" s="32" customFormat="1">
      <c r="A189" s="32" t="s">
        <v>96</v>
      </c>
      <c r="D189" s="32">
        <v>2</v>
      </c>
      <c r="E189" s="32" t="s">
        <v>591</v>
      </c>
    </row>
    <row r="190" spans="1:16" s="32" customFormat="1">
      <c r="A190" s="32" t="s">
        <v>96</v>
      </c>
      <c r="D190" s="32">
        <v>3</v>
      </c>
      <c r="E190" s="32" t="s">
        <v>229</v>
      </c>
    </row>
    <row r="191" spans="1:16" s="32" customFormat="1">
      <c r="A191" s="32" t="s">
        <v>96</v>
      </c>
      <c r="D191" s="32">
        <v>4</v>
      </c>
      <c r="E191" s="32" t="s">
        <v>230</v>
      </c>
    </row>
    <row r="192" spans="1:16" s="32" customFormat="1">
      <c r="A192" s="32" t="s">
        <v>96</v>
      </c>
      <c r="D192" s="32" t="s">
        <v>169</v>
      </c>
      <c r="E192" s="32" t="s">
        <v>231</v>
      </c>
    </row>
    <row r="193" spans="1:12" s="32" customFormat="1">
      <c r="A193" s="32" t="s">
        <v>96</v>
      </c>
      <c r="B193" s="32" t="s">
        <v>589</v>
      </c>
      <c r="C193" s="32" t="s">
        <v>261</v>
      </c>
      <c r="D193" s="32">
        <v>0</v>
      </c>
      <c r="E193" s="32" t="s">
        <v>389</v>
      </c>
      <c r="F193" s="32" t="s">
        <v>595</v>
      </c>
      <c r="G193" s="32" t="s">
        <v>66</v>
      </c>
      <c r="H193" s="32" t="s">
        <v>327</v>
      </c>
      <c r="I193" s="32" t="s">
        <v>382</v>
      </c>
      <c r="J193" s="32" t="s">
        <v>307</v>
      </c>
      <c r="K193" s="32" t="s">
        <v>383</v>
      </c>
      <c r="L193" s="32" t="s">
        <v>307</v>
      </c>
    </row>
    <row r="194" spans="1:12" s="32" customFormat="1">
      <c r="A194" s="32" t="s">
        <v>96</v>
      </c>
      <c r="D194" s="32">
        <v>1</v>
      </c>
      <c r="E194" s="32" t="s">
        <v>592</v>
      </c>
    </row>
    <row r="195" spans="1:12" s="32" customFormat="1">
      <c r="A195" s="32" t="s">
        <v>96</v>
      </c>
      <c r="D195" s="32">
        <v>1.5</v>
      </c>
      <c r="E195" s="32" t="s">
        <v>590</v>
      </c>
    </row>
    <row r="196" spans="1:12" s="32" customFormat="1">
      <c r="A196" s="32" t="s">
        <v>96</v>
      </c>
      <c r="D196" s="32">
        <v>2</v>
      </c>
      <c r="E196" s="32" t="s">
        <v>591</v>
      </c>
    </row>
    <row r="197" spans="1:12" s="32" customFormat="1">
      <c r="A197" s="32" t="s">
        <v>96</v>
      </c>
      <c r="D197" s="32">
        <v>3</v>
      </c>
      <c r="E197" s="32" t="s">
        <v>229</v>
      </c>
    </row>
    <row r="198" spans="1:12" s="32" customFormat="1">
      <c r="A198" s="32" t="s">
        <v>96</v>
      </c>
      <c r="D198" s="32">
        <v>4</v>
      </c>
      <c r="E198" s="32" t="s">
        <v>230</v>
      </c>
    </row>
    <row r="199" spans="1:12" s="32" customFormat="1">
      <c r="A199" s="32" t="s">
        <v>96</v>
      </c>
      <c r="D199" s="32" t="s">
        <v>169</v>
      </c>
      <c r="E199" s="32" t="s">
        <v>231</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1944E-28B4-4113-A27F-3B841E118807}">
  <dimension ref="A1:AU56"/>
  <sheetViews>
    <sheetView zoomScale="70" zoomScaleNormal="70" workbookViewId="0">
      <pane xSplit="1" ySplit="1" topLeftCell="L23" activePane="bottomRight" state="frozen"/>
      <selection pane="topRight" activeCell="B1" sqref="B1"/>
      <selection pane="bottomLeft" activeCell="A2" sqref="A2"/>
      <selection pane="bottomRight" activeCell="R24" sqref="R24"/>
    </sheetView>
  </sheetViews>
  <sheetFormatPr defaultRowHeight="14.5"/>
  <cols>
    <col min="1" max="1" width="25.453125" bestFit="1" customWidth="1"/>
    <col min="2" max="2" width="11.36328125" customWidth="1"/>
    <col min="4" max="6" width="8.6328125" customWidth="1"/>
    <col min="15" max="15" width="8.6328125" bestFit="1" customWidth="1"/>
    <col min="16" max="16" width="10.6328125" style="4" bestFit="1" customWidth="1"/>
    <col min="23" max="23" width="8.54296875" bestFit="1" customWidth="1"/>
    <col min="24" max="24" width="8.54296875" customWidth="1"/>
    <col min="25" max="25" width="12.7265625" bestFit="1" customWidth="1"/>
    <col min="28" max="28" width="8.36328125" customWidth="1"/>
    <col min="29" max="29" width="11.08984375" bestFit="1" customWidth="1"/>
    <col min="30" max="30" width="10.36328125" bestFit="1" customWidth="1"/>
    <col min="31" max="31" width="12.1796875" bestFit="1" customWidth="1"/>
    <col min="32" max="32" width="13.26953125" bestFit="1" customWidth="1"/>
    <col min="33" max="33" width="9.1796875" bestFit="1" customWidth="1"/>
    <col min="34" max="34" width="9.26953125" customWidth="1"/>
    <col min="35" max="35" width="11.54296875" bestFit="1" customWidth="1"/>
    <col min="36" max="36" width="12.54296875" bestFit="1" customWidth="1"/>
    <col min="37" max="37" width="11.54296875" bestFit="1" customWidth="1"/>
    <col min="38" max="40" width="12.54296875" bestFit="1" customWidth="1"/>
    <col min="41" max="41" width="8.6328125" customWidth="1"/>
    <col min="42" max="42" width="9.26953125" customWidth="1"/>
    <col min="43" max="43" width="10.6328125" bestFit="1" customWidth="1"/>
    <col min="44" max="44" width="12.6328125" bestFit="1" customWidth="1"/>
    <col min="45" max="45" width="18" bestFit="1" customWidth="1"/>
    <col min="47" max="47" width="8.7265625" style="11"/>
  </cols>
  <sheetData>
    <row r="1" spans="1:47" s="2" customFormat="1" ht="30" customHeight="1">
      <c r="A1" s="18" t="s">
        <v>391</v>
      </c>
      <c r="B1" s="2" t="s">
        <v>5</v>
      </c>
      <c r="C1" s="2" t="s">
        <v>6</v>
      </c>
      <c r="D1" s="2" t="s">
        <v>7</v>
      </c>
      <c r="E1" s="2" t="s">
        <v>8</v>
      </c>
      <c r="F1" s="2" t="s">
        <v>9</v>
      </c>
      <c r="G1" s="2" t="s">
        <v>10</v>
      </c>
      <c r="H1" s="2" t="s">
        <v>11</v>
      </c>
      <c r="I1" s="2" t="s">
        <v>12</v>
      </c>
      <c r="J1" s="2" t="s">
        <v>13</v>
      </c>
      <c r="K1" s="2" t="s">
        <v>14</v>
      </c>
      <c r="L1" s="2" t="s">
        <v>15</v>
      </c>
      <c r="M1" s="2" t="s">
        <v>385</v>
      </c>
      <c r="N1" s="2" t="s">
        <v>60</v>
      </c>
      <c r="O1" s="2" t="s">
        <v>61</v>
      </c>
      <c r="P1" s="3" t="s">
        <v>62</v>
      </c>
      <c r="Q1" s="2" t="s">
        <v>63</v>
      </c>
      <c r="R1" s="2" t="s">
        <v>64</v>
      </c>
      <c r="S1" s="2" t="s">
        <v>65</v>
      </c>
      <c r="T1" s="2" t="s">
        <v>66</v>
      </c>
      <c r="U1" s="2" t="s">
        <v>502</v>
      </c>
      <c r="V1" s="2" t="s">
        <v>495</v>
      </c>
      <c r="W1" s="2" t="s">
        <v>69</v>
      </c>
      <c r="X1" s="2" t="s">
        <v>582</v>
      </c>
      <c r="Y1" s="2" t="s">
        <v>71</v>
      </c>
      <c r="Z1" s="2" t="s">
        <v>73</v>
      </c>
      <c r="AA1" s="2" t="s">
        <v>74</v>
      </c>
      <c r="AB1" s="2" t="s">
        <v>75</v>
      </c>
      <c r="AC1" s="17" t="s">
        <v>77</v>
      </c>
      <c r="AD1" s="2" t="s">
        <v>78</v>
      </c>
      <c r="AE1" s="2" t="s">
        <v>79</v>
      </c>
      <c r="AF1" s="2" t="s">
        <v>80</v>
      </c>
      <c r="AG1" s="2" t="s">
        <v>84</v>
      </c>
      <c r="AH1" s="2" t="s">
        <v>85</v>
      </c>
      <c r="AI1" s="2" t="s">
        <v>86</v>
      </c>
      <c r="AJ1" s="2" t="s">
        <v>87</v>
      </c>
      <c r="AK1" s="2" t="s">
        <v>382</v>
      </c>
      <c r="AL1" s="2" t="s">
        <v>383</v>
      </c>
      <c r="AM1" s="2" t="s">
        <v>89</v>
      </c>
      <c r="AN1" s="2" t="s">
        <v>589</v>
      </c>
      <c r="AO1" s="2" t="s">
        <v>90</v>
      </c>
      <c r="AP1" s="2" t="s">
        <v>91</v>
      </c>
      <c r="AQ1" s="2" t="s">
        <v>92</v>
      </c>
      <c r="AR1" s="2" t="s">
        <v>93</v>
      </c>
      <c r="AS1" t="s">
        <v>379</v>
      </c>
      <c r="AT1" s="2" t="s">
        <v>378</v>
      </c>
      <c r="AU1" s="19" t="s">
        <v>392</v>
      </c>
    </row>
    <row r="2" spans="1:47">
      <c r="A2" t="s">
        <v>5</v>
      </c>
    </row>
    <row r="3" spans="1:47">
      <c r="A3" t="s">
        <v>6</v>
      </c>
    </row>
    <row r="4" spans="1:47">
      <c r="A4" t="s">
        <v>7</v>
      </c>
    </row>
    <row r="5" spans="1:47">
      <c r="A5" t="s">
        <v>8</v>
      </c>
    </row>
    <row r="6" spans="1:47">
      <c r="A6" t="s">
        <v>9</v>
      </c>
    </row>
    <row r="7" spans="1:47">
      <c r="A7" t="s">
        <v>10</v>
      </c>
    </row>
    <row r="8" spans="1:47">
      <c r="A8" t="s">
        <v>11</v>
      </c>
    </row>
    <row r="9" spans="1:47">
      <c r="A9" t="s">
        <v>12</v>
      </c>
    </row>
    <row r="10" spans="1:47">
      <c r="A10" t="s">
        <v>13</v>
      </c>
    </row>
    <row r="11" spans="1:47">
      <c r="A11" t="s">
        <v>14</v>
      </c>
    </row>
    <row r="12" spans="1:47">
      <c r="A12" t="s">
        <v>15</v>
      </c>
      <c r="U12" s="16"/>
      <c r="AG12" s="16"/>
      <c r="AT12" s="16"/>
      <c r="AU12" s="11" t="s">
        <v>393</v>
      </c>
    </row>
    <row r="13" spans="1:47">
      <c r="A13" t="s">
        <v>385</v>
      </c>
      <c r="L13" s="23"/>
      <c r="AT13" s="16"/>
    </row>
    <row r="14" spans="1:47">
      <c r="A14" t="s">
        <v>60</v>
      </c>
      <c r="R14" s="23"/>
      <c r="AC14" s="23" t="s">
        <v>394</v>
      </c>
      <c r="AF14" s="16"/>
      <c r="AG14" s="16"/>
      <c r="AT14" s="16"/>
    </row>
    <row r="15" spans="1:47">
      <c r="A15" t="s">
        <v>61</v>
      </c>
    </row>
    <row r="16" spans="1:47">
      <c r="A16" t="s">
        <v>62</v>
      </c>
      <c r="AS16" s="16"/>
    </row>
    <row r="17" spans="1:46">
      <c r="A17" t="s">
        <v>63</v>
      </c>
      <c r="AC17" s="16"/>
      <c r="AS17" s="16"/>
    </row>
    <row r="18" spans="1:46">
      <c r="A18" t="s">
        <v>64</v>
      </c>
      <c r="Q18" s="23"/>
      <c r="AS18" s="16"/>
    </row>
    <row r="19" spans="1:46">
      <c r="A19" t="s">
        <v>65</v>
      </c>
    </row>
    <row r="20" spans="1:46">
      <c r="A20" t="s">
        <v>66</v>
      </c>
    </row>
    <row r="21" spans="1:46">
      <c r="A21" t="s">
        <v>502</v>
      </c>
      <c r="L21" s="23"/>
      <c r="AS21" s="16"/>
    </row>
    <row r="22" spans="1:46">
      <c r="A22" t="s">
        <v>495</v>
      </c>
      <c r="L22" s="23"/>
      <c r="M22" s="23"/>
      <c r="Q22" s="23"/>
      <c r="AS22" s="16"/>
    </row>
    <row r="23" spans="1:46">
      <c r="A23" t="s">
        <v>69</v>
      </c>
      <c r="L23" s="23"/>
      <c r="M23" s="33"/>
      <c r="Q23" s="23"/>
      <c r="AS23" s="16"/>
    </row>
    <row r="24" spans="1:46">
      <c r="A24" t="s">
        <v>582</v>
      </c>
      <c r="L24" s="33"/>
      <c r="M24" s="16"/>
      <c r="Q24" s="16"/>
      <c r="R24" s="16"/>
      <c r="AC24" s="16"/>
      <c r="AS24" s="16"/>
    </row>
    <row r="25" spans="1:46">
      <c r="A25" t="s">
        <v>71</v>
      </c>
      <c r="N25" s="23" t="s">
        <v>418</v>
      </c>
      <c r="Q25" s="23" t="s">
        <v>417</v>
      </c>
      <c r="AC25" s="15" t="s">
        <v>415</v>
      </c>
      <c r="AD25" s="16" t="s">
        <v>432</v>
      </c>
      <c r="AG25" s="16" t="s">
        <v>416</v>
      </c>
      <c r="AS25" s="16"/>
    </row>
    <row r="26" spans="1:46">
      <c r="A26" t="s">
        <v>73</v>
      </c>
    </row>
    <row r="27" spans="1:46">
      <c r="A27" t="s">
        <v>74</v>
      </c>
    </row>
    <row r="28" spans="1:46">
      <c r="A28" t="s">
        <v>75</v>
      </c>
      <c r="AD28" s="16"/>
      <c r="AS28" s="16"/>
    </row>
    <row r="29" spans="1:46">
      <c r="A29" t="s">
        <v>77</v>
      </c>
      <c r="P29" s="15"/>
      <c r="R29" s="23" t="s">
        <v>423</v>
      </c>
      <c r="V29" s="16"/>
      <c r="W29" s="16" t="s">
        <v>419</v>
      </c>
      <c r="X29" s="16"/>
      <c r="AS29" s="16"/>
      <c r="AT29" s="16"/>
    </row>
    <row r="30" spans="1:46">
      <c r="A30" t="s">
        <v>78</v>
      </c>
      <c r="P30" s="4" t="s">
        <v>429</v>
      </c>
      <c r="Y30" s="16"/>
      <c r="AO30" s="16" t="s">
        <v>430</v>
      </c>
      <c r="AP30" s="16"/>
      <c r="AQ30" s="16" t="s">
        <v>431</v>
      </c>
      <c r="AT30" s="16"/>
    </row>
    <row r="31" spans="1:46">
      <c r="A31" t="s">
        <v>79</v>
      </c>
      <c r="R31" s="16"/>
      <c r="AC31" s="23"/>
    </row>
    <row r="32" spans="1:46">
      <c r="A32" t="s">
        <v>80</v>
      </c>
      <c r="R32" s="16"/>
      <c r="AC32" s="24" t="s">
        <v>475</v>
      </c>
      <c r="AG32" s="16" t="s">
        <v>384</v>
      </c>
    </row>
    <row r="33" spans="1:46">
      <c r="A33" t="s">
        <v>84</v>
      </c>
      <c r="R33" s="16" t="s">
        <v>434</v>
      </c>
      <c r="AC33" s="23" t="s">
        <v>433</v>
      </c>
    </row>
    <row r="34" spans="1:46">
      <c r="A34" t="s">
        <v>85</v>
      </c>
      <c r="AO34" s="16" t="s">
        <v>425</v>
      </c>
      <c r="AP34" s="16" t="s">
        <v>426</v>
      </c>
      <c r="AQ34" s="16" t="s">
        <v>427</v>
      </c>
      <c r="AR34" s="16" t="s">
        <v>424</v>
      </c>
    </row>
    <row r="35" spans="1:46">
      <c r="A35" t="s">
        <v>86</v>
      </c>
      <c r="V35" s="16"/>
      <c r="W35" s="16"/>
      <c r="X35" s="16"/>
      <c r="AC35" s="23" t="s">
        <v>437</v>
      </c>
      <c r="AE35" s="16"/>
      <c r="AM35" s="16"/>
      <c r="AN35" s="16"/>
      <c r="AT35" s="16"/>
    </row>
    <row r="36" spans="1:46">
      <c r="A36" t="s">
        <v>87</v>
      </c>
      <c r="V36" s="16"/>
      <c r="W36" s="16"/>
      <c r="X36" s="16"/>
      <c r="AC36" s="23" t="s">
        <v>436</v>
      </c>
      <c r="AF36" s="16"/>
      <c r="AG36" s="16"/>
      <c r="AM36" s="16"/>
      <c r="AN36" s="16"/>
      <c r="AT36" s="16"/>
    </row>
    <row r="37" spans="1:46">
      <c r="A37" t="s">
        <v>382</v>
      </c>
      <c r="V37" s="16"/>
      <c r="W37" s="16"/>
      <c r="X37" s="16"/>
      <c r="AC37" s="16" t="s">
        <v>437</v>
      </c>
      <c r="AE37" s="16"/>
      <c r="AM37" s="16"/>
      <c r="AN37" s="16"/>
      <c r="AT37" s="16"/>
    </row>
    <row r="38" spans="1:46">
      <c r="A38" t="s">
        <v>383</v>
      </c>
      <c r="V38" s="16"/>
      <c r="W38" s="16"/>
      <c r="X38" s="16"/>
      <c r="AC38" s="16" t="s">
        <v>436</v>
      </c>
      <c r="AF38" s="16"/>
      <c r="AG38" s="16"/>
      <c r="AM38" s="16"/>
      <c r="AN38" s="16"/>
      <c r="AT38" s="16"/>
    </row>
    <row r="39" spans="1:46" ht="14" customHeight="1">
      <c r="A39" t="s">
        <v>89</v>
      </c>
      <c r="Q39" s="23" t="s">
        <v>421</v>
      </c>
      <c r="V39" s="16"/>
      <c r="W39" s="16" t="s">
        <v>422</v>
      </c>
      <c r="X39" s="16"/>
      <c r="AC39" s="23" t="s">
        <v>438</v>
      </c>
      <c r="AG39" s="16" t="s">
        <v>420</v>
      </c>
    </row>
    <row r="40" spans="1:46" ht="14" customHeight="1">
      <c r="A40" t="s">
        <v>589</v>
      </c>
      <c r="Q40" s="16"/>
      <c r="V40" s="16"/>
      <c r="W40" s="16"/>
      <c r="X40" s="16"/>
      <c r="AC40" s="16"/>
      <c r="AG40" s="16"/>
    </row>
    <row r="41" spans="1:46">
      <c r="A41" t="s">
        <v>90</v>
      </c>
      <c r="AT41" s="16"/>
    </row>
    <row r="42" spans="1:46">
      <c r="A42" t="s">
        <v>91</v>
      </c>
      <c r="AT42" s="16"/>
    </row>
    <row r="43" spans="1:46">
      <c r="A43" t="s">
        <v>92</v>
      </c>
      <c r="AT43" s="16"/>
    </row>
    <row r="44" spans="1:46">
      <c r="A44" t="s">
        <v>93</v>
      </c>
      <c r="AO44" s="16" t="s">
        <v>428</v>
      </c>
      <c r="AT44" s="16"/>
    </row>
    <row r="45" spans="1:46">
      <c r="A45" t="s">
        <v>379</v>
      </c>
    </row>
    <row r="46" spans="1:46">
      <c r="A46" t="s">
        <v>378</v>
      </c>
    </row>
    <row r="48" spans="1:46" s="11" customFormat="1">
      <c r="A48" s="11" t="s">
        <v>455</v>
      </c>
      <c r="P48" s="4"/>
    </row>
    <row r="50" spans="1:3">
      <c r="B50" s="12" t="s">
        <v>374</v>
      </c>
    </row>
    <row r="51" spans="1:3">
      <c r="A51" s="12"/>
      <c r="B51" s="13"/>
      <c r="C51" t="s">
        <v>376</v>
      </c>
    </row>
    <row r="52" spans="1:3">
      <c r="B52" s="14"/>
      <c r="C52" t="s">
        <v>377</v>
      </c>
    </row>
    <row r="53" spans="1:3">
      <c r="B53" s="15"/>
      <c r="C53" t="s">
        <v>388</v>
      </c>
    </row>
    <row r="54" spans="1:3">
      <c r="B54" s="16"/>
      <c r="C54" t="s">
        <v>375</v>
      </c>
    </row>
    <row r="55" spans="1:3">
      <c r="B55" s="1" t="s">
        <v>380</v>
      </c>
      <c r="C55" t="s">
        <v>381</v>
      </c>
    </row>
    <row r="56" spans="1:3">
      <c r="B56" s="23"/>
      <c r="C56" t="s">
        <v>476</v>
      </c>
    </row>
  </sheetData>
  <conditionalFormatting sqref="B2:AJ22 B23:P24 B34:AQ34 AC39:AC40 AN2:AT24 AK2:AM33 AN25:AR25 AT25 AN26:AT28 Y29:AJ29 AN29:AR29 B29:X30 Z30:AJ30 AN30:AT33 B31:AB33 AD31:AJ33 AR34:AT35 AN35:AP35 B35:AB41 AD35:AJ41 AK35:AM47 AN36:AT36 AN37:AP37 AR37:AT37 AN38:AT47 B42:AJ47 B25:AJ28 R23:AJ24">
    <cfRule type="expression" dxfId="4" priority="3">
      <formula>$A2=B$1</formula>
    </cfRule>
  </conditionalFormatting>
  <conditionalFormatting sqref="Y30">
    <cfRule type="expression" dxfId="3" priority="7">
      <formula>$A30=#REF!</formula>
    </cfRule>
  </conditionalFormatting>
  <conditionalFormatting sqref="B54">
    <cfRule type="expression" dxfId="2" priority="60">
      <formula>$A54=B$1</formula>
    </cfRule>
  </conditionalFormatting>
  <conditionalFormatting sqref="AS25 AS29:AT29">
    <cfRule type="expression" dxfId="1" priority="9">
      <formula>#REF!=AS$1</formula>
    </cfRule>
  </conditionalFormatting>
  <conditionalFormatting sqref="Q23">
    <cfRule type="expression" dxfId="0" priority="86">
      <formula>$A23=Q$1</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888EE-552D-40AA-8234-3B847E46EF43}">
  <dimension ref="A1:J33"/>
  <sheetViews>
    <sheetView tabSelected="1" topLeftCell="A28" zoomScale="55" workbookViewId="0">
      <selection activeCell="A33" sqref="A33"/>
    </sheetView>
  </sheetViews>
  <sheetFormatPr defaultRowHeight="14.5"/>
  <cols>
    <col min="1" max="1" width="55.7265625" bestFit="1" customWidth="1"/>
    <col min="2" max="2" width="16.36328125" style="25" bestFit="1" customWidth="1"/>
    <col min="3" max="3" width="16.36328125" customWidth="1"/>
    <col min="4" max="4" width="38" bestFit="1" customWidth="1"/>
    <col min="5" max="5" width="38" style="2" customWidth="1"/>
    <col min="6" max="6" width="45" bestFit="1" customWidth="1"/>
    <col min="7" max="7" width="27.6328125" bestFit="1" customWidth="1"/>
    <col min="8" max="8" width="23.54296875" bestFit="1" customWidth="1"/>
    <col min="9" max="9" width="22.453125" bestFit="1" customWidth="1"/>
  </cols>
  <sheetData>
    <row r="1" spans="1:10">
      <c r="A1" t="s">
        <v>464</v>
      </c>
      <c r="B1" s="25" t="s">
        <v>456</v>
      </c>
      <c r="C1" t="s">
        <v>469</v>
      </c>
      <c r="D1" t="s">
        <v>458</v>
      </c>
      <c r="E1" s="2" t="s">
        <v>461</v>
      </c>
      <c r="F1" t="s">
        <v>481</v>
      </c>
      <c r="G1" t="s">
        <v>457</v>
      </c>
      <c r="H1" t="s">
        <v>466</v>
      </c>
    </row>
    <row r="2" spans="1:10" ht="29">
      <c r="A2" t="s">
        <v>488</v>
      </c>
      <c r="B2" s="28" t="s">
        <v>520</v>
      </c>
      <c r="C2" t="s">
        <v>169</v>
      </c>
      <c r="D2" t="s">
        <v>489</v>
      </c>
      <c r="E2" s="2" t="s">
        <v>490</v>
      </c>
      <c r="F2" t="s">
        <v>169</v>
      </c>
      <c r="G2" t="s">
        <v>60</v>
      </c>
      <c r="H2" t="s">
        <v>77</v>
      </c>
    </row>
    <row r="3" spans="1:10" ht="58">
      <c r="A3" t="s">
        <v>465</v>
      </c>
      <c r="B3" s="28" t="s">
        <v>520</v>
      </c>
      <c r="C3" t="s">
        <v>472</v>
      </c>
      <c r="D3" t="s">
        <v>459</v>
      </c>
      <c r="E3" s="2" t="s">
        <v>487</v>
      </c>
      <c r="F3" t="s">
        <v>482</v>
      </c>
      <c r="G3" t="s">
        <v>474</v>
      </c>
      <c r="H3" t="s">
        <v>77</v>
      </c>
      <c r="I3" t="s">
        <v>86</v>
      </c>
      <c r="J3" t="s">
        <v>87</v>
      </c>
    </row>
    <row r="4" spans="1:10" ht="43.5">
      <c r="B4" s="27" t="s">
        <v>519</v>
      </c>
      <c r="C4" t="s">
        <v>470</v>
      </c>
      <c r="D4" t="s">
        <v>460</v>
      </c>
      <c r="E4" s="2" t="s">
        <v>463</v>
      </c>
      <c r="F4" t="s">
        <v>467</v>
      </c>
      <c r="G4" t="s">
        <v>528</v>
      </c>
      <c r="H4" t="s">
        <v>77</v>
      </c>
    </row>
    <row r="5" spans="1:10" ht="43.5">
      <c r="B5" s="27" t="s">
        <v>519</v>
      </c>
      <c r="C5" t="s">
        <v>470</v>
      </c>
      <c r="D5" t="s">
        <v>460</v>
      </c>
      <c r="E5" s="2" t="s">
        <v>462</v>
      </c>
      <c r="F5" t="s">
        <v>468</v>
      </c>
      <c r="G5" t="s">
        <v>527</v>
      </c>
      <c r="H5" t="s">
        <v>77</v>
      </c>
    </row>
    <row r="6" spans="1:10" ht="29">
      <c r="B6" s="27" t="s">
        <v>519</v>
      </c>
      <c r="C6" t="s">
        <v>471</v>
      </c>
      <c r="D6" t="s">
        <v>600</v>
      </c>
      <c r="E6" s="2" t="s">
        <v>601</v>
      </c>
      <c r="F6" t="s">
        <v>602</v>
      </c>
      <c r="G6" t="s">
        <v>604</v>
      </c>
      <c r="H6" t="s">
        <v>383</v>
      </c>
      <c r="I6" t="s">
        <v>77</v>
      </c>
    </row>
    <row r="7" spans="1:10">
      <c r="B7" s="27" t="s">
        <v>519</v>
      </c>
      <c r="D7" t="s">
        <v>599</v>
      </c>
      <c r="F7" t="s">
        <v>482</v>
      </c>
      <c r="G7" t="s">
        <v>382</v>
      </c>
      <c r="H7" t="s">
        <v>87</v>
      </c>
      <c r="I7" t="s">
        <v>77</v>
      </c>
    </row>
    <row r="8" spans="1:10">
      <c r="B8" s="27"/>
      <c r="D8" t="s">
        <v>603</v>
      </c>
      <c r="G8" t="s">
        <v>86</v>
      </c>
      <c r="H8" t="s">
        <v>383</v>
      </c>
      <c r="I8" t="s">
        <v>77</v>
      </c>
    </row>
    <row r="9" spans="1:10" ht="43.5">
      <c r="B9" s="29" t="s">
        <v>587</v>
      </c>
      <c r="C9" t="s">
        <v>472</v>
      </c>
      <c r="D9" t="s">
        <v>460</v>
      </c>
      <c r="E9" s="2" t="s">
        <v>524</v>
      </c>
      <c r="F9" t="s">
        <v>525</v>
      </c>
      <c r="G9" t="s">
        <v>526</v>
      </c>
      <c r="H9" t="s">
        <v>77</v>
      </c>
    </row>
    <row r="10" spans="1:10" ht="43.5">
      <c r="B10" s="29" t="s">
        <v>588</v>
      </c>
      <c r="C10" t="s">
        <v>470</v>
      </c>
      <c r="D10" t="s">
        <v>460</v>
      </c>
      <c r="E10" s="2" t="s">
        <v>521</v>
      </c>
      <c r="F10" t="s">
        <v>522</v>
      </c>
      <c r="G10" t="s">
        <v>523</v>
      </c>
    </row>
    <row r="11" spans="1:10" ht="43.5">
      <c r="B11" s="26" t="s">
        <v>518</v>
      </c>
      <c r="C11" t="s">
        <v>470</v>
      </c>
      <c r="D11" t="s">
        <v>460</v>
      </c>
      <c r="E11" s="2" t="s">
        <v>485</v>
      </c>
      <c r="F11" t="s">
        <v>486</v>
      </c>
      <c r="G11" t="s">
        <v>89</v>
      </c>
      <c r="H11" t="s">
        <v>77</v>
      </c>
    </row>
    <row r="12" spans="1:10" ht="29">
      <c r="B12" s="28" t="s">
        <v>520</v>
      </c>
      <c r="C12" t="s">
        <v>471</v>
      </c>
      <c r="D12" t="s">
        <v>473</v>
      </c>
      <c r="E12" s="2" t="s">
        <v>479</v>
      </c>
      <c r="F12" t="s">
        <v>480</v>
      </c>
      <c r="G12" t="s">
        <v>84</v>
      </c>
      <c r="H12" t="s">
        <v>77</v>
      </c>
    </row>
    <row r="13" spans="1:10" ht="43.5">
      <c r="A13" s="2" t="s">
        <v>531</v>
      </c>
      <c r="B13" s="31" t="s">
        <v>518</v>
      </c>
      <c r="C13" t="s">
        <v>471</v>
      </c>
      <c r="D13" t="s">
        <v>477</v>
      </c>
      <c r="E13" s="2" t="s">
        <v>478</v>
      </c>
      <c r="F13" t="s">
        <v>598</v>
      </c>
      <c r="G13" t="s">
        <v>80</v>
      </c>
      <c r="H13" t="s">
        <v>77</v>
      </c>
      <c r="I13" t="s">
        <v>84</v>
      </c>
    </row>
    <row r="14" spans="1:10" ht="43.5">
      <c r="B14" s="28" t="s">
        <v>520</v>
      </c>
      <c r="C14" t="s">
        <v>169</v>
      </c>
      <c r="D14" t="s">
        <v>483</v>
      </c>
      <c r="E14" s="2" t="s">
        <v>484</v>
      </c>
      <c r="F14" t="s">
        <v>169</v>
      </c>
      <c r="G14" t="s">
        <v>84</v>
      </c>
      <c r="H14" t="s">
        <v>77</v>
      </c>
      <c r="I14" t="s">
        <v>79</v>
      </c>
    </row>
    <row r="15" spans="1:10" ht="58">
      <c r="A15" t="s">
        <v>493</v>
      </c>
      <c r="B15" s="30" t="s">
        <v>586</v>
      </c>
      <c r="C15" t="s">
        <v>472</v>
      </c>
      <c r="D15" t="s">
        <v>494</v>
      </c>
      <c r="E15" s="2" t="s">
        <v>492</v>
      </c>
      <c r="F15" t="s">
        <v>491</v>
      </c>
      <c r="G15" t="s">
        <v>385</v>
      </c>
      <c r="H15" t="s">
        <v>15</v>
      </c>
      <c r="I15" t="s">
        <v>502</v>
      </c>
    </row>
    <row r="16" spans="1:10" ht="29">
      <c r="A16" t="s">
        <v>536</v>
      </c>
      <c r="B16" s="31" t="s">
        <v>518</v>
      </c>
      <c r="C16" t="s">
        <v>472</v>
      </c>
      <c r="D16" t="s">
        <v>517</v>
      </c>
      <c r="E16" s="2" t="s">
        <v>516</v>
      </c>
      <c r="F16" t="s">
        <v>515</v>
      </c>
      <c r="G16" t="s">
        <v>514</v>
      </c>
      <c r="H16" t="s">
        <v>15</v>
      </c>
      <c r="I16" t="s">
        <v>502</v>
      </c>
    </row>
    <row r="17" spans="1:10">
      <c r="B17" s="31" t="s">
        <v>518</v>
      </c>
      <c r="C17" t="s">
        <v>472</v>
      </c>
      <c r="E17" s="2" t="s">
        <v>529</v>
      </c>
      <c r="F17" t="s">
        <v>530</v>
      </c>
      <c r="G17" t="s">
        <v>502</v>
      </c>
      <c r="H17" t="s">
        <v>15</v>
      </c>
    </row>
    <row r="18" spans="1:10" ht="58">
      <c r="A18" t="s">
        <v>534</v>
      </c>
      <c r="B18" s="30" t="s">
        <v>586</v>
      </c>
      <c r="C18" t="s">
        <v>472</v>
      </c>
      <c r="D18" t="s">
        <v>535</v>
      </c>
      <c r="E18" s="2" t="s">
        <v>532</v>
      </c>
      <c r="F18" t="s">
        <v>533</v>
      </c>
      <c r="G18" t="s">
        <v>71</v>
      </c>
      <c r="H18" t="s">
        <v>60</v>
      </c>
    </row>
    <row r="19" spans="1:10" ht="43.5">
      <c r="A19" t="s">
        <v>541</v>
      </c>
      <c r="B19" s="30" t="s">
        <v>586</v>
      </c>
      <c r="C19" t="s">
        <v>470</v>
      </c>
      <c r="D19" t="s">
        <v>537</v>
      </c>
      <c r="E19" s="2" t="s">
        <v>540</v>
      </c>
      <c r="F19" t="s">
        <v>538</v>
      </c>
      <c r="G19" t="s">
        <v>539</v>
      </c>
      <c r="H19" t="s">
        <v>64</v>
      </c>
    </row>
    <row r="20" spans="1:10" ht="29">
      <c r="A20" t="s">
        <v>545</v>
      </c>
      <c r="B20" s="31" t="s">
        <v>518</v>
      </c>
      <c r="C20" t="s">
        <v>470</v>
      </c>
      <c r="D20" t="s">
        <v>542</v>
      </c>
      <c r="E20" s="2" t="s">
        <v>543</v>
      </c>
      <c r="F20" t="s">
        <v>544</v>
      </c>
      <c r="G20" t="s">
        <v>539</v>
      </c>
      <c r="H20" t="s">
        <v>77</v>
      </c>
    </row>
    <row r="21" spans="1:10" ht="43.5">
      <c r="A21" t="s">
        <v>548</v>
      </c>
      <c r="B21" s="30" t="s">
        <v>586</v>
      </c>
      <c r="C21" t="s">
        <v>472</v>
      </c>
      <c r="D21" t="s">
        <v>546</v>
      </c>
      <c r="E21" s="2" t="s">
        <v>547</v>
      </c>
      <c r="F21" t="s">
        <v>549</v>
      </c>
      <c r="G21" t="s">
        <v>539</v>
      </c>
      <c r="H21" t="s">
        <v>78</v>
      </c>
    </row>
    <row r="22" spans="1:10">
      <c r="A22" t="s">
        <v>552</v>
      </c>
      <c r="B22" s="30" t="s">
        <v>573</v>
      </c>
      <c r="C22" t="s">
        <v>472</v>
      </c>
      <c r="D22" t="s">
        <v>553</v>
      </c>
      <c r="E22" s="2" t="s">
        <v>551</v>
      </c>
      <c r="F22" t="s">
        <v>550</v>
      </c>
      <c r="G22" t="s">
        <v>539</v>
      </c>
      <c r="H22" t="s">
        <v>64</v>
      </c>
      <c r="I22" t="s">
        <v>78</v>
      </c>
      <c r="J22" t="s">
        <v>77</v>
      </c>
    </row>
    <row r="23" spans="1:10" ht="72.5">
      <c r="A23" t="s">
        <v>559</v>
      </c>
      <c r="B23" s="30" t="s">
        <v>586</v>
      </c>
      <c r="C23" t="s">
        <v>472</v>
      </c>
      <c r="D23" t="s">
        <v>561</v>
      </c>
      <c r="E23" s="2" t="s">
        <v>560</v>
      </c>
      <c r="F23" t="s">
        <v>558</v>
      </c>
      <c r="G23" t="s">
        <v>63</v>
      </c>
      <c r="H23" t="s">
        <v>557</v>
      </c>
      <c r="I23" t="s">
        <v>89</v>
      </c>
    </row>
    <row r="24" spans="1:10" ht="87">
      <c r="A24" t="s">
        <v>562</v>
      </c>
      <c r="B24" s="30" t="s">
        <v>586</v>
      </c>
      <c r="C24" t="s">
        <v>472</v>
      </c>
      <c r="D24" t="s">
        <v>563</v>
      </c>
      <c r="E24" s="2" t="s">
        <v>565</v>
      </c>
      <c r="F24" t="s">
        <v>564</v>
      </c>
      <c r="G24" t="s">
        <v>63</v>
      </c>
      <c r="H24" t="s">
        <v>64</v>
      </c>
      <c r="I24" t="s">
        <v>71</v>
      </c>
    </row>
    <row r="25" spans="1:10" ht="43.5">
      <c r="B25" s="30" t="s">
        <v>586</v>
      </c>
      <c r="C25" t="s">
        <v>472</v>
      </c>
      <c r="D25" t="s">
        <v>554</v>
      </c>
      <c r="E25" s="2" t="s">
        <v>555</v>
      </c>
      <c r="F25" t="s">
        <v>556</v>
      </c>
      <c r="G25" t="s">
        <v>63</v>
      </c>
      <c r="H25" t="s">
        <v>64</v>
      </c>
    </row>
    <row r="26" spans="1:10" ht="43.5">
      <c r="B26" s="30" t="s">
        <v>586</v>
      </c>
      <c r="C26" t="s">
        <v>471</v>
      </c>
      <c r="D26" t="s">
        <v>568</v>
      </c>
      <c r="E26" s="2" t="s">
        <v>567</v>
      </c>
      <c r="F26" t="s">
        <v>566</v>
      </c>
      <c r="G26" t="s">
        <v>63</v>
      </c>
      <c r="H26" t="s">
        <v>71</v>
      </c>
    </row>
    <row r="27" spans="1:10" ht="58">
      <c r="A27" t="s">
        <v>569</v>
      </c>
      <c r="B27" s="30" t="s">
        <v>586</v>
      </c>
      <c r="C27" t="s">
        <v>472</v>
      </c>
      <c r="D27" t="s">
        <v>570</v>
      </c>
      <c r="E27" s="2" t="s">
        <v>571</v>
      </c>
      <c r="F27" t="s">
        <v>572</v>
      </c>
      <c r="G27" t="s">
        <v>63</v>
      </c>
      <c r="H27" t="s">
        <v>71</v>
      </c>
      <c r="I27" t="s">
        <v>77</v>
      </c>
    </row>
    <row r="28" spans="1:10" ht="58">
      <c r="A28" t="s">
        <v>577</v>
      </c>
      <c r="B28" s="31" t="s">
        <v>518</v>
      </c>
      <c r="C28" t="s">
        <v>472</v>
      </c>
      <c r="D28" t="s">
        <v>574</v>
      </c>
      <c r="E28" s="2" t="s">
        <v>575</v>
      </c>
      <c r="F28" t="s">
        <v>576</v>
      </c>
      <c r="G28" t="s">
        <v>63</v>
      </c>
      <c r="H28" t="s">
        <v>89</v>
      </c>
    </row>
    <row r="29" spans="1:10" ht="116">
      <c r="A29" t="s">
        <v>581</v>
      </c>
      <c r="B29" s="30" t="s">
        <v>586</v>
      </c>
      <c r="C29" t="s">
        <v>471</v>
      </c>
      <c r="D29" t="s">
        <v>578</v>
      </c>
      <c r="E29" s="2" t="s">
        <v>579</v>
      </c>
      <c r="F29" t="s">
        <v>580</v>
      </c>
      <c r="G29" t="s">
        <v>63</v>
      </c>
      <c r="H29" t="s">
        <v>495</v>
      </c>
    </row>
    <row r="30" spans="1:10" ht="58">
      <c r="B30" s="25" t="s">
        <v>605</v>
      </c>
      <c r="C30" t="s">
        <v>472</v>
      </c>
      <c r="D30" t="s">
        <v>606</v>
      </c>
      <c r="E30" s="2" t="s">
        <v>608</v>
      </c>
      <c r="F30" t="s">
        <v>607</v>
      </c>
      <c r="G30" t="s">
        <v>64</v>
      </c>
      <c r="H30" t="s">
        <v>77</v>
      </c>
    </row>
    <row r="31" spans="1:10" ht="72.5">
      <c r="B31" s="25" t="s">
        <v>605</v>
      </c>
      <c r="C31" t="s">
        <v>472</v>
      </c>
      <c r="D31" t="s">
        <v>609</v>
      </c>
      <c r="E31" s="2" t="s">
        <v>610</v>
      </c>
      <c r="F31" t="s">
        <v>611</v>
      </c>
      <c r="G31" t="s">
        <v>64</v>
      </c>
      <c r="H31" t="s">
        <v>60</v>
      </c>
    </row>
    <row r="32" spans="1:10" ht="58">
      <c r="A32" t="s">
        <v>615</v>
      </c>
      <c r="B32" s="25" t="s">
        <v>573</v>
      </c>
      <c r="D32" t="s">
        <v>612</v>
      </c>
      <c r="E32" s="2" t="s">
        <v>614</v>
      </c>
      <c r="F32" t="s">
        <v>613</v>
      </c>
      <c r="G32" t="s">
        <v>64</v>
      </c>
      <c r="H32" t="s">
        <v>60</v>
      </c>
      <c r="I32" t="s">
        <v>77</v>
      </c>
    </row>
    <row r="33" spans="1:9" ht="72.5">
      <c r="A33" t="s">
        <v>619</v>
      </c>
      <c r="B33" s="25" t="s">
        <v>573</v>
      </c>
      <c r="D33" t="s">
        <v>616</v>
      </c>
      <c r="E33" s="2" t="s">
        <v>618</v>
      </c>
      <c r="F33" t="s">
        <v>617</v>
      </c>
      <c r="G33" t="s">
        <v>64</v>
      </c>
      <c r="H33" t="s">
        <v>582</v>
      </c>
      <c r="I33" t="s">
        <v>77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E22E7-7A59-41CD-BCD3-4F2AC304728D}">
  <dimension ref="B1:F17"/>
  <sheetViews>
    <sheetView workbookViewId="0"/>
  </sheetViews>
  <sheetFormatPr defaultRowHeight="14.5"/>
  <cols>
    <col min="1" max="1" width="13.90625" bestFit="1" customWidth="1"/>
    <col min="2" max="2" width="72.81640625" style="2" customWidth="1"/>
    <col min="3" max="3" width="28.6328125" customWidth="1"/>
    <col min="4" max="4" width="23.1796875" customWidth="1"/>
    <col min="5" max="5" width="30.26953125" customWidth="1"/>
  </cols>
  <sheetData>
    <row r="1" spans="2:6">
      <c r="B1" s="2" t="s">
        <v>395</v>
      </c>
      <c r="C1" t="s">
        <v>442</v>
      </c>
      <c r="D1" t="s">
        <v>443</v>
      </c>
    </row>
    <row r="2" spans="2:6" ht="29">
      <c r="B2" s="2" t="s">
        <v>396</v>
      </c>
      <c r="C2" t="s">
        <v>77</v>
      </c>
      <c r="D2" t="s">
        <v>60</v>
      </c>
      <c r="E2" t="s">
        <v>73</v>
      </c>
    </row>
    <row r="3" spans="2:6" ht="29">
      <c r="B3" s="2" t="s">
        <v>396</v>
      </c>
      <c r="C3" t="s">
        <v>77</v>
      </c>
      <c r="D3" t="s">
        <v>70</v>
      </c>
      <c r="E3" t="s">
        <v>73</v>
      </c>
    </row>
    <row r="5" spans="2:6" s="11" customFormat="1">
      <c r="B5" s="19" t="s">
        <v>435</v>
      </c>
      <c r="C5" s="11" t="s">
        <v>15</v>
      </c>
      <c r="D5" s="11" t="s">
        <v>70</v>
      </c>
      <c r="E5" s="11" t="s">
        <v>73</v>
      </c>
    </row>
    <row r="7" spans="2:6" ht="29">
      <c r="B7" s="2" t="s">
        <v>439</v>
      </c>
      <c r="C7" t="s">
        <v>77</v>
      </c>
      <c r="D7" t="s">
        <v>87</v>
      </c>
      <c r="E7" t="s">
        <v>86</v>
      </c>
    </row>
    <row r="8" spans="2:6" ht="29">
      <c r="B8" s="2" t="s">
        <v>441</v>
      </c>
      <c r="C8" t="s">
        <v>77</v>
      </c>
      <c r="D8" t="s">
        <v>87</v>
      </c>
      <c r="E8" t="s">
        <v>86</v>
      </c>
      <c r="F8" t="s">
        <v>89</v>
      </c>
    </row>
    <row r="9" spans="2:6">
      <c r="C9" t="s">
        <v>77</v>
      </c>
      <c r="D9" t="s">
        <v>87</v>
      </c>
    </row>
    <row r="12" spans="2:6" ht="29">
      <c r="B12" s="2" t="s">
        <v>440</v>
      </c>
      <c r="C12" t="s">
        <v>87</v>
      </c>
      <c r="D12" t="s">
        <v>60</v>
      </c>
      <c r="E12" t="s">
        <v>73</v>
      </c>
    </row>
    <row r="17" spans="2:5" ht="43.5">
      <c r="B17" s="2" t="s">
        <v>445</v>
      </c>
      <c r="C17" t="s">
        <v>84</v>
      </c>
      <c r="D17" t="s">
        <v>320</v>
      </c>
      <c r="E17" t="s">
        <v>444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Codebook</vt:lpstr>
      <vt:lpstr>Values&amp;Labels</vt:lpstr>
      <vt:lpstr>causal relationships</vt:lpstr>
      <vt:lpstr>interactions</vt:lpstr>
      <vt:lpstr>correlations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dc:creator>
  <cp:lastModifiedBy>Kevin Wang</cp:lastModifiedBy>
  <dcterms:created xsi:type="dcterms:W3CDTF">2015-06-05T18:17:20Z</dcterms:created>
  <dcterms:modified xsi:type="dcterms:W3CDTF">2025-05-27T12:32:16Z</dcterms:modified>
</cp:coreProperties>
</file>